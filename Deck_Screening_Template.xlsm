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sa\Desktop\structural_calculation\"/>
    </mc:Choice>
  </mc:AlternateContent>
  <xr:revisionPtr revIDLastSave="0" documentId="13_ncr:1_{ABE31C74-827A-4BD5-8FE2-EB0335A4BB56}" xr6:coauthVersionLast="47" xr6:coauthVersionMax="47" xr10:uidLastSave="{00000000-0000-0000-0000-000000000000}"/>
  <bookViews>
    <workbookView xWindow="22932" yWindow="-3072" windowWidth="23256" windowHeight="12456" xr2:uid="{EFC51239-D026-47F2-8764-C72E2FB314DC}"/>
  </bookViews>
  <sheets>
    <sheet name="Inputs" sheetId="1" r:id="rId1"/>
    <sheet name="Connectors" sheetId="2" r:id="rId2"/>
    <sheet name="Results" sheetId="3" r:id="rId3"/>
    <sheet name="ResultExplain" sheetId="12" r:id="rId4"/>
    <sheet name="tributary_width_ft" sheetId="4" r:id="rId5"/>
    <sheet name="psf" sheetId="5" r:id="rId6"/>
    <sheet name="Fc_axis_prime" sheetId="6" r:id="rId7"/>
    <sheet name="roof_uplift_psf" sheetId="7" r:id="rId8"/>
    <sheet name="uplift_area_per_post_ft2" sheetId="8" r:id="rId9"/>
    <sheet name="lateral_line_load_plf" sheetId="9" r:id="rId10"/>
    <sheet name="wind_wall_psf" sheetId="10" r:id="rId11"/>
    <sheet name="post_to_beam_arm_in" sheetId="11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1" l="1"/>
  <c r="B6" i="1"/>
  <c r="H19" i="1"/>
  <c r="G30" i="1"/>
  <c r="B2" i="1"/>
  <c r="H8" i="1"/>
  <c r="B12" i="1" s="1"/>
  <c r="H12" i="1"/>
  <c r="B3" i="1"/>
  <c r="H2" i="1"/>
  <c r="I28" i="1"/>
  <c r="H28" i="1"/>
  <c r="E30" i="1"/>
  <c r="O26" i="1"/>
  <c r="A61" i="7"/>
  <c r="A65" i="7"/>
  <c r="A69" i="7"/>
  <c r="A73" i="7"/>
  <c r="A77" i="7"/>
  <c r="F30" i="1" l="1"/>
  <c r="B25" i="1" s="1"/>
  <c r="G26" i="1"/>
  <c r="N26" i="1" s="1"/>
  <c r="P26" i="1" s="1"/>
  <c r="Q26" i="1" s="1"/>
  <c r="B24" i="1" s="1"/>
  <c r="B27" i="1"/>
  <c r="B2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Masa</author>
  </authors>
  <commentList>
    <comment ref="A2" authorId="0" shapeId="0" xr:uid="{27457B10-15DE-4641-9D1A-12017E553AC0}">
      <text>
        <r>
          <rPr>
            <b/>
            <sz val="9"/>
            <color indexed="81"/>
            <rFont val="Tahoma"/>
            <charset val="1"/>
          </rPr>
          <t>Masa:</t>
        </r>
        <r>
          <rPr>
            <sz val="9"/>
            <color indexed="81"/>
            <rFont val="Tahoma"/>
            <charset val="1"/>
          </rPr>
          <t xml:space="preserve">
Clear span of your beam between posts (in feet).
Ex: if your cedar beam runs 20 ft between supports, put 20.</t>
        </r>
      </text>
    </comment>
    <comment ref="A3" authorId="0" shapeId="0" xr:uid="{7EE0BB67-1B0D-4CEB-BF1D-732F29A37CF2}">
      <text>
        <r>
          <rPr>
            <b/>
            <sz val="9"/>
            <color indexed="81"/>
            <rFont val="Tahoma"/>
            <charset val="1"/>
          </rPr>
          <t>Masa:</t>
        </r>
        <r>
          <rPr>
            <sz val="9"/>
            <color indexed="81"/>
            <rFont val="Tahoma"/>
            <charset val="1"/>
          </rPr>
          <t xml:space="preserve">
Half the roof width on each side of the beam that contributes load.
Ex: If your beam supports 12 ft of roof width, put 12.</t>
        </r>
      </text>
    </comment>
    <comment ref="A4" authorId="0" shapeId="0" xr:uid="{96D19366-3B8B-442E-8644-28516616BE8A}">
      <text>
        <r>
          <rPr>
            <b/>
            <sz val="9"/>
            <color indexed="81"/>
            <rFont val="Tahoma"/>
            <charset val="1"/>
          </rPr>
          <t>Masa:</t>
        </r>
        <r>
          <rPr>
            <sz val="9"/>
            <color indexed="81"/>
            <rFont val="Tahoma"/>
            <charset val="1"/>
          </rPr>
          <t xml:space="preserve">
Width (breadth) of the beam cross-section (in inches).
Ex: 6×8 actual = 5.5 in wide → 5.5.</t>
        </r>
      </text>
    </comment>
    <comment ref="A5" authorId="0" shapeId="0" xr:uid="{B8A7DEF9-6C3B-4667-AE0F-15F3B712FE7C}">
      <text>
        <r>
          <rPr>
            <b/>
            <sz val="9"/>
            <color indexed="81"/>
            <rFont val="Tahoma"/>
            <charset val="1"/>
          </rPr>
          <t>Masa:</t>
        </r>
        <r>
          <rPr>
            <sz val="9"/>
            <color indexed="81"/>
            <rFont val="Tahoma"/>
            <charset val="1"/>
          </rPr>
          <t xml:space="preserve">
Depth of the beam cross-section (in inches).
Ex: 6×8 actual = 7.25 in deep → 7.25.</t>
        </r>
      </text>
    </comment>
    <comment ref="A6" authorId="0" shapeId="0" xr:uid="{447AE2A8-DD9B-49B5-BEF8-1D9DB2D557D4}">
      <text>
        <r>
          <rPr>
            <b/>
            <sz val="9"/>
            <color indexed="81"/>
            <rFont val="Tahoma"/>
            <charset val="1"/>
          </rPr>
          <t>Masa:</t>
        </r>
        <r>
          <rPr>
            <sz val="9"/>
            <color indexed="81"/>
            <rFont val="Tahoma"/>
            <charset val="1"/>
          </rPr>
          <t xml:space="preserve">
Clear height of post that isn’t braced (in inches).
Ex: 8 ft = 96.</t>
        </r>
      </text>
    </comment>
    <comment ref="A7" authorId="0" shapeId="0" xr:uid="{E0414934-9EAF-446C-B8E1-DAA9B2F396FE}">
      <text>
        <r>
          <rPr>
            <b/>
            <sz val="9"/>
            <color indexed="81"/>
            <rFont val="Tahoma"/>
            <charset val="1"/>
          </rPr>
          <t>Masa:</t>
        </r>
        <r>
          <rPr>
            <sz val="9"/>
            <color indexed="81"/>
            <rFont val="Tahoma"/>
            <charset val="1"/>
          </rPr>
          <t xml:space="preserve">
Contact area of post at base (width × depth).
Ex: 6×6 actual (5.5 × 5.5) = 30.25 in² → put that.</t>
        </r>
      </text>
    </comment>
    <comment ref="A8" authorId="0" shapeId="0" xr:uid="{F664B0E3-4EE3-48A6-B916-B440875AB377}">
      <text>
        <r>
          <rPr>
            <b/>
            <sz val="9"/>
            <color indexed="81"/>
            <rFont val="Tahoma"/>
            <charset val="1"/>
          </rPr>
          <t>Masa:</t>
        </r>
        <r>
          <rPr>
            <sz val="9"/>
            <color indexed="81"/>
            <rFont val="Tahoma"/>
            <charset val="1"/>
          </rPr>
          <t xml:space="preserve">
Allowable bending stress (psi).</t>
        </r>
      </text>
    </comment>
    <comment ref="A9" authorId="0" shapeId="0" xr:uid="{8F966B79-01C0-4338-83A6-4E144398FB3F}">
      <text>
        <r>
          <rPr>
            <b/>
            <sz val="9"/>
            <color indexed="81"/>
            <rFont val="Tahoma"/>
            <charset val="1"/>
          </rPr>
          <t>Masa:</t>
        </r>
        <r>
          <rPr>
            <sz val="9"/>
            <color indexed="81"/>
            <rFont val="Tahoma"/>
            <charset val="1"/>
          </rPr>
          <t xml:space="preserve">
Allowable shear stress (psi).</t>
        </r>
      </text>
    </comment>
    <comment ref="A10" authorId="0" shapeId="0" xr:uid="{2BCD84CA-612D-4DE8-AEE7-A46486B8678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bearing stress perpendicular to grain (psi).</t>
        </r>
      </text>
    </comment>
    <comment ref="A11" authorId="0" shapeId="0" xr:uid="{1040E030-C4B6-4A42-9A6E-C45B4078051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Modulus of elasticity (psi).
Ex: SPF No.2 values are around Fb=875, Fv=135, Fc⊥=565, E=1,100,000.</t>
        </r>
      </text>
    </comment>
    <comment ref="A12" authorId="0" shapeId="0" xr:uid="{F7630E19-9512-4135-BF19-16E9009B113F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Dead load (psf). Includes beam, roof sheathing/panels, and self-weight.</t>
        </r>
      </text>
    </comment>
    <comment ref="A13" authorId="0" shapeId="0" xr:uid="{AD12EA3C-87D9-4FBB-A080-0D136DFE43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Snow load (psf). Use BC snow load map (varies by region).
Ex: Fraser Valley ~30 psf for low elevation.</t>
        </r>
      </text>
    </comment>
    <comment ref="A14" authorId="0" shapeId="0" xr:uid="{8882C3E5-EE16-4ACA-892C-DA0892AEA2A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Live load (psf). For maintenance, often 0–20 psf.</t>
        </r>
      </text>
    </comment>
    <comment ref="A15" authorId="0" shapeId="0" xr:uid="{3E52492F-3DC4-4256-BA3B-EB375EF8BA1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Serviceability limit.
Common roof limits: L/240 (default), L/180 (less strict), L/360 (stricter).</t>
        </r>
      </text>
    </comment>
    <comment ref="A16" authorId="0" shapeId="0" xr:uid="{4B3A9FF2-B804-4961-8A8E-92943E69D85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Allowable compressive stress parallel to grain (psi).</t>
        </r>
      </text>
    </comment>
    <comment ref="A17" authorId="0" shapeId="0" xr:uid="{5F23E893-600C-49DA-8310-4864DEDAA56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Width and depth of post cross-section (inches).
Ex: 6×6 actual = 5.5 × 5.5.</t>
        </r>
      </text>
    </comment>
    <comment ref="A19" authorId="0" shapeId="0" xr:uid="{437BDFF1-D870-4E07-A0C1-E98785EBC311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diagonal braces?</t>
        </r>
      </text>
    </comment>
    <comment ref="A20" authorId="0" shapeId="0" xr:uid="{B908A5D8-C0DB-4556-B808-D5E87C489AAB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a top connector rated for moment?</t>
        </r>
      </text>
    </comment>
    <comment ref="A21" authorId="0" shapeId="0" xr:uid="{89E9B043-6065-42B0-99E1-ADBC76A6812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Yes/No. Do you have a base connector rated for lateral/kick-out?</t>
        </r>
      </text>
    </comment>
    <comment ref="A22" authorId="0" shapeId="0" xr:uid="{52B0892C-6FC6-43FD-98A4-C60983B90C9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Model from Connectors sheet</t>
        </r>
      </text>
    </comment>
    <comment ref="A23" authorId="0" shapeId="0" xr:uid="{4174D280-07DE-4B8D-BCD1-D6FE55C2245B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Model from Connectors sheet</t>
        </r>
      </text>
    </comment>
    <comment ref="A24" authorId="0" shapeId="0" xr:uid="{512C624E-64BE-40CC-B27A-EC78F48A1E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Wind uplift load (psf). Use local code (ASCE/BCBC).</t>
        </r>
      </text>
    </comment>
    <comment ref="A34" authorId="0" shapeId="0" xr:uid="{E8714B72-F509-4442-98E8-04C613DF69AE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This is the maximum pressure the soil can safely take under the footing.
Default “rule of thumb” for BC residential is ~1500 psf if no geotech.
If you have soil test info, use that number.
Used for bearing check: allow/qactual≤qallow/SF.</t>
        </r>
      </text>
    </comment>
    <comment ref="A35" authorId="0" shapeId="0" xr:uid="{C9FDF3D5-087D-4344-80BD-E195453EA074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Unit weight of soil, in pounds per cubic foot.
Typical: ~110–120 pcf for loose fill, ~125–135 pcf for dense/clay.
This matters only if you count soil overburden weight (the weight of backfill sitting on top of footing).</t>
        </r>
      </text>
    </comment>
    <comment ref="A36" authorId="0" shapeId="0" xr:uid="{6E9994C2-1D8C-4520-8ADB-64195119F94A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Weight of concrete: normally 150 pcf for standard reinforced concrete.
Used to calculate the self-weight of the footing (resisting uplift and sliding).</t>
        </r>
      </text>
    </comment>
    <comment ref="A37" authorId="0" shapeId="0" xr:uid="{41DD5705-C57D-4B6A-BCA9-625E85B23959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Coefficient of friction between the bottom of footing and the soil.
Conservative default: 0.4–0.5 for concrete on soil.
Used for sliding check: H≤μ⋅Veff/SF.</t>
        </r>
      </text>
    </comment>
    <comment ref="A38" authorId="0" shapeId="0" xr:uid="{E67C275F-8C04-44C1-813C-1EACBB68EF38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Safety factors to make sure you’re conservative.
Typical practice:
Bearing: 1.0–1.5 (since allowable soil capacity often already includes a factor of safety).
Sliding: 1.5
Uplift: 1.5–2.0
These scale the capacity side, not the demand.</t>
        </r>
      </text>
    </comment>
    <comment ref="A41" authorId="0" shapeId="0" xr:uid="{FDBDFAD6-2D1F-427A-977F-C7F59FEAA607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If you want to count the uplift resistance of your post base connector (e.g., APB66 has ~1260 lb uplift capacity), put that here.
If you don’t want to rely on hardware for uplift (only weight of concrete + soil), leave this at 0.</t>
        </r>
      </text>
    </comment>
    <comment ref="A42" authorId="0" shapeId="0" xr:uid="{CAC6C224-65AA-4A7E-A5F0-9A298C5D2522}">
      <text>
        <r>
          <rPr>
            <b/>
            <sz val="9"/>
            <color indexed="81"/>
            <rFont val="Tahoma"/>
            <family val="2"/>
          </rPr>
          <t>Masa:</t>
        </r>
        <r>
          <rPr>
            <sz val="9"/>
            <color indexed="81"/>
            <rFont val="Tahoma"/>
            <family val="2"/>
          </rPr>
          <t xml:space="preserve">
Yes/No switch.
If Yes, the program will count the weight of soil above the footing as extra resistance to uplift and sliding.
If No, you’ll only get footing self-weight (concrete).
For shallow footings (12–18" below grade), overburden can add a lot of resistance.</t>
        </r>
      </text>
    </comment>
  </commentList>
</comments>
</file>

<file path=xl/sharedStrings.xml><?xml version="1.0" encoding="utf-8"?>
<sst xmlns="http://schemas.openxmlformats.org/spreadsheetml/2006/main" count="704" uniqueCount="588">
  <si>
    <t>A (Label)</t>
  </si>
  <si>
    <t>B (Value)</t>
  </si>
  <si>
    <t>span_ft</t>
  </si>
  <si>
    <t>tributary_width_ft</t>
  </si>
  <si>
    <t>beam_b_in</t>
  </si>
  <si>
    <t>beam_d_in</t>
  </si>
  <si>
    <t>post_unsupported_height_in</t>
  </si>
  <si>
    <t>post_base_bearing_area_in2</t>
  </si>
  <si>
    <t>Fb_prime</t>
  </si>
  <si>
    <t>Fv_prime</t>
  </si>
  <si>
    <t>Fc_perp_prime</t>
  </si>
  <si>
    <t>E</t>
  </si>
  <si>
    <t>DL_psf</t>
  </si>
  <si>
    <t>SL_psf</t>
  </si>
  <si>
    <t>LL_psf</t>
  </si>
  <si>
    <t>deflection_limit_ratio</t>
  </si>
  <si>
    <t>Fc_axis_prime (optional)</t>
  </si>
  <si>
    <t>post_section_b_in (optional)</t>
  </si>
  <si>
    <t>post_section_d_in (optional)</t>
  </si>
  <si>
    <t>has_knee_braces</t>
  </si>
  <si>
    <t>No</t>
  </si>
  <si>
    <t>has_moment_top_connector</t>
  </si>
  <si>
    <t>has_hold_downs_or_shear_base</t>
  </si>
  <si>
    <t xml:space="preserve">top_connector_model                    </t>
  </si>
  <si>
    <t xml:space="preserve">base_connector_model                   </t>
  </si>
  <si>
    <t xml:space="preserve">lateral_line_load_plf                  </t>
  </si>
  <si>
    <t xml:space="preserve">wind_wall_psf                          </t>
  </si>
  <si>
    <t xml:space="preserve">exposed_height_ft                      </t>
  </si>
  <si>
    <t>roof_uplift_psf</t>
  </si>
  <si>
    <t>uplift_area_per_post_ft2</t>
  </si>
  <si>
    <t>post_to_beam_arm_in</t>
  </si>
  <si>
    <t>type</t>
  </si>
  <si>
    <t>model</t>
  </si>
  <si>
    <t>allowable_download_lb</t>
  </si>
  <si>
    <t>allowable_uplift_lb</t>
  </si>
  <si>
    <t>allowable_lateral_lb</t>
  </si>
  <si>
    <t>allowable_moment_lb_in</t>
  </si>
  <si>
    <t>top</t>
  </si>
  <si>
    <t>THA218</t>
  </si>
  <si>
    <t>H1.81Z</t>
  </si>
  <si>
    <t>1616HTPC</t>
  </si>
  <si>
    <t>allowable_shear_lb</t>
  </si>
  <si>
    <t>base</t>
  </si>
  <si>
    <t>ABU66Z</t>
  </si>
  <si>
    <t>PBS66</t>
  </si>
  <si>
    <t>APB66</t>
  </si>
  <si>
    <t>📐 What “tributary width” means</t>
  </si>
  <si>
    <r>
      <t xml:space="preserve">Think of the </t>
    </r>
    <r>
      <rPr>
        <b/>
        <sz val="11"/>
        <color theme="1"/>
        <rFont val="Aptos Narrow"/>
        <family val="2"/>
        <scheme val="minor"/>
      </rPr>
      <t>beam</t>
    </r>
    <r>
      <rPr>
        <sz val="11"/>
        <color theme="1"/>
        <rFont val="Aptos Narrow"/>
        <family val="2"/>
        <scheme val="minor"/>
      </rPr>
      <t xml:space="preserve"> as a collector. The roof panels/joists span </t>
    </r>
    <r>
      <rPr>
        <i/>
        <sz val="11"/>
        <color theme="1"/>
        <rFont val="Aptos Narrow"/>
        <family val="2"/>
        <scheme val="minor"/>
      </rPr>
      <t>across</t>
    </r>
    <r>
      <rPr>
        <sz val="11"/>
        <color theme="1"/>
        <rFont val="Aptos Narrow"/>
        <family val="2"/>
        <scheme val="minor"/>
      </rPr>
      <t xml:space="preserve"> to it, and the beam carries only the share of roof load that “belongs” to it.</t>
    </r>
  </si>
  <si>
    <r>
      <t>Tributary width</t>
    </r>
    <r>
      <rPr>
        <sz val="11"/>
        <color theme="1"/>
        <rFont val="Aptos Narrow"/>
        <family val="2"/>
        <scheme val="minor"/>
      </rPr>
      <t xml:space="preserve"> is the </t>
    </r>
    <r>
      <rPr>
        <b/>
        <sz val="11"/>
        <color theme="1"/>
        <rFont val="Aptos Narrow"/>
        <family val="2"/>
        <scheme val="minor"/>
      </rPr>
      <t>effective roof width that loads onto one beam span</t>
    </r>
    <r>
      <rPr>
        <sz val="11"/>
        <color theme="1"/>
        <rFont val="Aptos Narrow"/>
        <family val="2"/>
        <scheme val="minor"/>
      </rPr>
      <t>.</t>
    </r>
  </si>
  <si>
    <r>
      <t xml:space="preserve">The rule: </t>
    </r>
    <r>
      <rPr>
        <b/>
        <sz val="11"/>
        <color theme="1"/>
        <rFont val="Aptos Narrow"/>
        <family val="2"/>
        <scheme val="minor"/>
      </rPr>
      <t>each beam takes half the distance to the next support on each side</t>
    </r>
    <r>
      <rPr>
        <sz val="11"/>
        <color theme="1"/>
        <rFont val="Aptos Narrow"/>
        <family val="2"/>
        <scheme val="minor"/>
      </rPr>
      <t>.</t>
    </r>
  </si>
  <si>
    <t>Example 1 – Simple one-span roof</t>
  </si>
  <si>
    <t>Roof joists run perpendicular to the beam.</t>
  </si>
  <si>
    <t>Beam spacing = 12 ft apart.</t>
  </si>
  <si>
    <r>
      <t xml:space="preserve">Each beam picks up 6 ft of roof on the left + 6 ft on the right = </t>
    </r>
    <r>
      <rPr>
        <b/>
        <sz val="11"/>
        <color theme="1"/>
        <rFont val="Aptos Narrow"/>
        <family val="2"/>
        <scheme val="minor"/>
      </rPr>
      <t>12 ft tributary width</t>
    </r>
    <r>
      <rPr>
        <sz val="11"/>
        <color theme="1"/>
        <rFont val="Aptos Narrow"/>
        <family val="2"/>
        <scheme val="minor"/>
      </rPr>
      <t>.</t>
    </r>
  </si>
  <si>
    <t>That’s why we call it “half on each side.”</t>
  </si>
  <si>
    <t>Example 2 – Edge beam</t>
  </si>
  <si>
    <r>
      <t xml:space="preserve">If your beam is on the </t>
    </r>
    <r>
      <rPr>
        <b/>
        <sz val="11"/>
        <color theme="1"/>
        <rFont val="Aptos Narrow"/>
        <family val="2"/>
        <scheme val="minor"/>
      </rPr>
      <t>edge of the roof</t>
    </r>
    <r>
      <rPr>
        <sz val="11"/>
        <color theme="1"/>
        <rFont val="Aptos Narrow"/>
        <family val="2"/>
        <scheme val="minor"/>
      </rPr>
      <t xml:space="preserve"> (one side only):</t>
    </r>
  </si>
  <si>
    <t>It takes only half the spacing, say 6 ft, instead of the full 12 ft.</t>
  </si>
  <si>
    <t>So tributary width is smaller (because there’s no load from outside the edge).</t>
  </si>
  <si>
    <t>Example 3 – Your deck cover</t>
  </si>
  <si>
    <r>
      <t xml:space="preserve">Say you have a </t>
    </r>
    <r>
      <rPr>
        <b/>
        <sz val="11"/>
        <color theme="1"/>
        <rFont val="Aptos Narrow"/>
        <family val="2"/>
        <scheme val="minor"/>
      </rPr>
      <t>20 ft beam</t>
    </r>
    <r>
      <rPr>
        <sz val="11"/>
        <color theme="1"/>
        <rFont val="Aptos Narrow"/>
        <family val="2"/>
        <scheme val="minor"/>
      </rPr>
      <t xml:space="preserve"> running along the depth of the deck.</t>
    </r>
  </si>
  <si>
    <r>
      <t xml:space="preserve">The </t>
    </r>
    <r>
      <rPr>
        <b/>
        <sz val="11"/>
        <color theme="1"/>
        <rFont val="Aptos Narrow"/>
        <family val="2"/>
        <scheme val="minor"/>
      </rPr>
      <t>roof panels (aluminum + glass/polycarbonate)</t>
    </r>
    <r>
      <rPr>
        <sz val="11"/>
        <color theme="1"/>
        <rFont val="Aptos Narrow"/>
        <family val="2"/>
        <scheme val="minor"/>
      </rPr>
      <t xml:space="preserve"> run perpendicular from the house wall to this beam.</t>
    </r>
  </si>
  <si>
    <t>If the cover is 16 ft deep:</t>
  </si>
  <si>
    <t>The house wall carries half (8 ft)</t>
  </si>
  <si>
    <t>Your beam carries the other half (8 ft)</t>
  </si>
  <si>
    <r>
      <t xml:space="preserve">So </t>
    </r>
    <r>
      <rPr>
        <b/>
        <sz val="11"/>
        <color theme="1"/>
        <rFont val="Aptos Narrow"/>
        <family val="2"/>
        <scheme val="minor"/>
      </rPr>
      <t>tributary width = 8 ft</t>
    </r>
    <r>
      <rPr>
        <sz val="11"/>
        <color theme="1"/>
        <rFont val="Aptos Narrow"/>
        <family val="2"/>
        <scheme val="minor"/>
      </rPr>
      <t>, not the full 16 ft.</t>
    </r>
  </si>
  <si>
    <t>Unless your beam is in the middle of two spans of roof, in which case it could take more.</t>
  </si>
  <si>
    <t>🧮 Why it matters</t>
  </si>
  <si>
    <t>The tributary width converts area loads (psf) into line loads (plf) on the beam:</t>
  </si>
  <si>
    <t>[</t>
  </si>
  <si>
    <t>w = (DL + SL + LL) \times \text{tributary width}</t>
  </si>
  <si>
    <t>]</t>
  </si>
  <si>
    <t>That’s the number the program uses for bending, shear, and deflection checks.</t>
  </si>
  <si>
    <t>Example:</t>
  </si>
  <si>
    <r>
      <t xml:space="preserve">Great—since your roof joists are </t>
    </r>
    <r>
      <rPr>
        <b/>
        <sz val="11"/>
        <color theme="1"/>
        <rFont val="Aptos Narrow"/>
        <family val="2"/>
        <scheme val="minor"/>
      </rPr>
      <t>15 ft</t>
    </r>
    <r>
      <rPr>
        <sz val="11"/>
        <color theme="1"/>
        <rFont val="Aptos Narrow"/>
        <family val="2"/>
        <scheme val="minor"/>
      </rPr>
      <t xml:space="preserve"> long </t>
    </r>
    <r>
      <rPr>
        <b/>
        <sz val="11"/>
        <color theme="1"/>
        <rFont val="Aptos Narrow"/>
        <family val="2"/>
        <scheme val="minor"/>
      </rPr>
      <t>and there’s a beam in the middle</t>
    </r>
    <r>
      <rPr>
        <sz val="11"/>
        <color theme="1"/>
        <rFont val="Aptos Narrow"/>
        <family val="2"/>
        <scheme val="minor"/>
      </rPr>
      <t xml:space="preserve">, the joists are supported at three lines: </t>
    </r>
    <r>
      <rPr>
        <b/>
        <sz val="11"/>
        <color theme="1"/>
        <rFont val="Aptos Narrow"/>
        <family val="2"/>
        <scheme val="minor"/>
      </rPr>
      <t>house ledger → middle beam → outer beam</t>
    </r>
    <r>
      <rPr>
        <sz val="11"/>
        <color theme="1"/>
        <rFont val="Aptos Narrow"/>
        <family val="2"/>
        <scheme val="minor"/>
      </rPr>
      <t>.</t>
    </r>
  </si>
  <si>
    <r>
      <t xml:space="preserve">Joist bay from house to middle beam = </t>
    </r>
    <r>
      <rPr>
        <b/>
        <sz val="11"/>
        <color theme="1"/>
        <rFont val="Aptos Narrow"/>
        <family val="2"/>
        <scheme val="minor"/>
      </rPr>
      <t>7.5 ft</t>
    </r>
  </si>
  <si>
    <r>
      <t xml:space="preserve">Joist bay from middle beam to outer beam = </t>
    </r>
    <r>
      <rPr>
        <b/>
        <sz val="11"/>
        <color theme="1"/>
        <rFont val="Aptos Narrow"/>
        <family val="2"/>
        <scheme val="minor"/>
      </rPr>
      <t>7.5 ft</t>
    </r>
  </si>
  <si>
    <t>Tributary width per support</t>
  </si>
  <si>
    <r>
      <t>Middle beam</t>
    </r>
    <r>
      <rPr>
        <sz val="11"/>
        <color theme="1"/>
        <rFont val="Aptos Narrow"/>
        <family val="2"/>
        <scheme val="minor"/>
      </rPr>
      <t xml:space="preserve">: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of each adjacent bay → 7.5/2 + 7.5/2 = </t>
    </r>
    <r>
      <rPr>
        <b/>
        <sz val="11"/>
        <color theme="1"/>
        <rFont val="Aptos Narrow"/>
        <family val="2"/>
        <scheme val="minor"/>
      </rPr>
      <t>7.5 ft</t>
    </r>
  </si>
  <si>
    <r>
      <t>Outer beam (edge)</t>
    </r>
    <r>
      <rPr>
        <sz val="11"/>
        <color theme="1"/>
        <rFont val="Aptos Narrow"/>
        <family val="2"/>
        <scheme val="minor"/>
      </rPr>
      <t xml:space="preserve">: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of the adjacent bay only (the other side is the roof edge) → 7.5/2 = </t>
    </r>
    <r>
      <rPr>
        <b/>
        <sz val="11"/>
        <color theme="1"/>
        <rFont val="Aptos Narrow"/>
        <family val="2"/>
        <scheme val="minor"/>
      </rPr>
      <t>3.75 ft</t>
    </r>
  </si>
  <si>
    <r>
      <t>House ledger</t>
    </r>
    <r>
      <rPr>
        <sz val="11"/>
        <color theme="1"/>
        <rFont val="Aptos Narrow"/>
        <family val="2"/>
        <scheme val="minor"/>
      </rPr>
      <t xml:space="preserve">: same as the edge condition → </t>
    </r>
    <r>
      <rPr>
        <b/>
        <sz val="11"/>
        <color theme="1"/>
        <rFont val="Aptos Narrow"/>
        <family val="2"/>
        <scheme val="minor"/>
      </rPr>
      <t>3.75 ft</t>
    </r>
  </si>
  <si>
    <r>
      <t xml:space="preserve">So if you’re analyzing the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tributary_width_ft = 7.5</t>
    </r>
    <r>
      <rPr>
        <sz val="11"/>
        <color theme="1"/>
        <rFont val="Aptos Narrow"/>
        <family val="2"/>
        <scheme val="minor"/>
      </rPr>
      <t>.</t>
    </r>
  </si>
  <si>
    <r>
      <t xml:space="preserve">If you’re analyzing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tributary_width_ft = 3.75</t>
    </r>
    <r>
      <rPr>
        <sz val="11"/>
        <color theme="1"/>
        <rFont val="Aptos Narrow"/>
        <family val="2"/>
        <scheme val="minor"/>
      </rPr>
      <t>.</t>
    </r>
  </si>
  <si>
    <r>
      <t xml:space="preserve">Rule of thumb: </t>
    </r>
    <r>
      <rPr>
        <b/>
        <sz val="11"/>
        <color theme="1"/>
        <rFont val="Aptos Narrow"/>
        <family val="2"/>
        <scheme val="minor"/>
      </rPr>
      <t>TW = (half the distance to support on left) + (half the distance to support on right)</t>
    </r>
    <r>
      <rPr>
        <sz val="11"/>
        <color theme="1"/>
        <rFont val="Aptos Narrow"/>
        <family val="2"/>
        <scheme val="minor"/>
      </rPr>
      <t xml:space="preserve">. At an </t>
    </r>
    <r>
      <rPr>
        <b/>
        <sz val="11"/>
        <color theme="1"/>
        <rFont val="Aptos Narrow"/>
        <family val="2"/>
        <scheme val="minor"/>
      </rPr>
      <t>edge</t>
    </r>
    <r>
      <rPr>
        <sz val="11"/>
        <color theme="1"/>
        <rFont val="Aptos Narrow"/>
        <family val="2"/>
        <scheme val="minor"/>
      </rPr>
      <t xml:space="preserve">, one side is “0,” so it’s just </t>
    </r>
    <r>
      <rPr>
        <b/>
        <sz val="11"/>
        <color theme="1"/>
        <rFont val="Aptos Narrow"/>
        <family val="2"/>
        <scheme val="minor"/>
      </rPr>
      <t>half of the adjacent bay</t>
    </r>
    <r>
      <rPr>
        <sz val="11"/>
        <color theme="1"/>
        <rFont val="Aptos Narrow"/>
        <family val="2"/>
        <scheme val="minor"/>
      </rPr>
      <t xml:space="preserve"> (plus any overhang/soffit if you have one).</t>
    </r>
  </si>
  <si>
    <t>Geometry</t>
  </si>
  <si>
    <t>Material Strengths</t>
  </si>
  <si>
    <t>Loads</t>
  </si>
  <si>
    <t>Explain tributary width</t>
  </si>
  <si>
    <t>Explain PSF</t>
  </si>
  <si>
    <r>
      <t xml:space="preserve">It’s a </t>
    </r>
    <r>
      <rPr>
        <b/>
        <sz val="11"/>
        <color theme="1"/>
        <rFont val="Aptos Narrow"/>
        <family val="2"/>
        <scheme val="minor"/>
      </rPr>
      <t>pressure or surface load unit</t>
    </r>
    <r>
      <rPr>
        <sz val="11"/>
        <color theme="1"/>
        <rFont val="Aptos Narrow"/>
        <family val="2"/>
        <scheme val="minor"/>
      </rPr>
      <t xml:space="preserve"> used in structural design:</t>
    </r>
  </si>
  <si>
    <r>
      <t>1 psf</t>
    </r>
    <r>
      <rPr>
        <sz val="11"/>
        <color theme="1"/>
        <rFont val="Aptos Narrow"/>
        <family val="2"/>
        <scheme val="minor"/>
      </rPr>
      <t xml:space="preserve"> = a load of </t>
    </r>
    <r>
      <rPr>
        <b/>
        <sz val="11"/>
        <color theme="1"/>
        <rFont val="Aptos Narrow"/>
        <family val="2"/>
        <scheme val="minor"/>
      </rPr>
      <t>1 pound applied over one square foot of area</t>
    </r>
    <r>
      <rPr>
        <sz val="11"/>
        <color theme="1"/>
        <rFont val="Aptos Narrow"/>
        <family val="2"/>
        <scheme val="minor"/>
      </rPr>
      <t>.</t>
    </r>
  </si>
  <si>
    <t>Why psf matters</t>
  </si>
  <si>
    <r>
      <t xml:space="preserve">Roofs, floors, and decks carry </t>
    </r>
    <r>
      <rPr>
        <b/>
        <sz val="11"/>
        <color theme="1"/>
        <rFont val="Aptos Narrow"/>
        <family val="2"/>
        <scheme val="minor"/>
      </rPr>
      <t>distributed loads</t>
    </r>
    <r>
      <rPr>
        <sz val="11"/>
        <color theme="1"/>
        <rFont val="Aptos Narrow"/>
        <family val="2"/>
        <scheme val="minor"/>
      </rPr>
      <t xml:space="preserve"> (snow, roofing weight, people).</t>
    </r>
  </si>
  <si>
    <r>
      <t xml:space="preserve">These loads are first expressed in </t>
    </r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 (how many pounds per square foot the surface is carrying).</t>
    </r>
  </si>
  <si>
    <r>
      <t xml:space="preserve">To design beams, we convert psf into </t>
    </r>
    <r>
      <rPr>
        <b/>
        <sz val="11"/>
        <color theme="1"/>
        <rFont val="Aptos Narrow"/>
        <family val="2"/>
        <scheme val="minor"/>
      </rPr>
      <t>plf (pounds per linear foot)</t>
    </r>
    <r>
      <rPr>
        <sz val="11"/>
        <color theme="1"/>
        <rFont val="Aptos Narrow"/>
        <family val="2"/>
        <scheme val="minor"/>
      </rPr>
      <t xml:space="preserve"> using tributary width:</t>
    </r>
  </si>
  <si>
    <t>w , (\text{plf}) = q , (\text{psf}) \times \text{tributary width (ft)}</t>
  </si>
  <si>
    <t>So if snow load = 30 psf and tributary width = 7.5 ft,</t>
  </si>
  <si>
    <r>
      <t xml:space="preserve">then beam load = 30 × 7.5 = </t>
    </r>
    <r>
      <rPr>
        <b/>
        <sz val="11"/>
        <color theme="1"/>
        <rFont val="Aptos Narrow"/>
        <family val="2"/>
        <scheme val="minor"/>
      </rPr>
      <t>225 plf</t>
    </r>
    <r>
      <rPr>
        <sz val="11"/>
        <color theme="1"/>
        <rFont val="Aptos Narrow"/>
        <family val="2"/>
        <scheme val="minor"/>
      </rPr>
      <t xml:space="preserve"> (line load along the beam).</t>
    </r>
  </si>
  <si>
    <t>Typical examples</t>
  </si>
  <si>
    <t>Drywall ceiling = ~2 psf</t>
  </si>
  <si>
    <t>Asphalt shingles + plywood roof deck = ~7–10 psf dead load</t>
  </si>
  <si>
    <t>Snow in Fraser Valley = ~20–40 psf (varies by elevation and exposure)</t>
  </si>
  <si>
    <t>People on a residential floor = ~40 psf live load (by code)</t>
  </si>
  <si>
    <r>
      <t xml:space="preserve">👉 Do you want me to make you a </t>
    </r>
    <r>
      <rPr>
        <b/>
        <sz val="11"/>
        <color theme="1"/>
        <rFont val="Aptos Narrow"/>
        <family val="2"/>
        <scheme val="minor"/>
      </rPr>
      <t>cheat sheet of common psf values</t>
    </r>
    <r>
      <rPr>
        <sz val="11"/>
        <color theme="1"/>
        <rFont val="Aptos Narrow"/>
        <family val="2"/>
        <scheme val="minor"/>
      </rPr>
      <t xml:space="preserve"> (dead loads like roofing, sheathing, insulation, plus BC snow loads) so you can quickly plug them into your spreadsheet?</t>
    </r>
  </si>
  <si>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 stands for </t>
    </r>
    <r>
      <rPr>
        <b/>
        <sz val="11"/>
        <color theme="1"/>
        <rFont val="Aptos Narrow"/>
        <family val="2"/>
        <scheme val="minor"/>
      </rPr>
      <t>pounds per square foot</t>
    </r>
    <r>
      <rPr>
        <sz val="11"/>
        <color theme="1"/>
        <rFont val="Aptos Narrow"/>
        <family val="2"/>
        <scheme val="minor"/>
      </rPr>
      <t>.</t>
    </r>
  </si>
  <si>
    <r>
      <t xml:space="preserve">Got it—let’s turn your description into the key loads you’ll enter/use, and make sure the tributary widths are right when there’s a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1 ft overhang</t>
    </r>
    <r>
      <rPr>
        <sz val="11"/>
        <color theme="1"/>
        <rFont val="Aptos Narrow"/>
        <family val="2"/>
        <scheme val="minor"/>
      </rPr>
      <t xml:space="preserve"> on the front and both sides.</t>
    </r>
  </si>
  <si>
    <t>1) Clarify the geometry you gave</t>
  </si>
  <si>
    <r>
      <t xml:space="preserve">Roof </t>
    </r>
    <r>
      <rPr>
        <b/>
        <sz val="11"/>
        <color theme="1"/>
        <rFont val="Aptos Narrow"/>
        <family val="2"/>
        <scheme val="minor"/>
      </rPr>
      <t>plan size</t>
    </r>
    <r>
      <rPr>
        <sz val="11"/>
        <color theme="1"/>
        <rFont val="Aptos Narrow"/>
        <family val="2"/>
        <scheme val="minor"/>
      </rPr>
      <t xml:space="preserve"> (including overhangs): </t>
    </r>
    <r>
      <rPr>
        <b/>
        <sz val="11"/>
        <color theme="1"/>
        <rFont val="Aptos Narrow"/>
        <family val="2"/>
        <scheme val="minor"/>
      </rPr>
      <t>16 ft (projection) × 20 ft (width)</t>
    </r>
  </si>
  <si>
    <r>
      <t xml:space="preserve">Joists run </t>
    </r>
    <r>
      <rPr>
        <b/>
        <sz val="11"/>
        <color theme="1"/>
        <rFont val="Aptos Narrow"/>
        <family val="2"/>
        <scheme val="minor"/>
      </rPr>
      <t>from house → outer edge</t>
    </r>
    <r>
      <rPr>
        <sz val="11"/>
        <color theme="1"/>
        <rFont val="Aptos Narrow"/>
        <family val="2"/>
        <scheme val="minor"/>
      </rPr>
      <t xml:space="preserve">, total joist length (ledger to outer beam) </t>
    </r>
    <r>
      <rPr>
        <b/>
        <sz val="11"/>
        <color theme="1"/>
        <rFont val="Aptos Narrow"/>
        <family val="2"/>
        <scheme val="minor"/>
      </rPr>
      <t>= 15 ft</t>
    </r>
    <r>
      <rPr>
        <sz val="11"/>
        <color theme="1"/>
        <rFont val="Aptos Narrow"/>
        <family val="2"/>
        <scheme val="minor"/>
      </rPr>
      <t xml:space="preserve">, </t>
    </r>
    <r>
      <rPr>
        <b/>
        <sz val="11"/>
        <color theme="1"/>
        <rFont val="Aptos Narrow"/>
        <family val="2"/>
        <scheme val="minor"/>
      </rPr>
      <t>plus 1 ft front overhang</t>
    </r>
    <r>
      <rPr>
        <sz val="11"/>
        <color theme="1"/>
        <rFont val="Aptos Narrow"/>
        <family val="2"/>
        <scheme val="minor"/>
      </rPr>
      <t xml:space="preserve"> beyond the outer beam.</t>
    </r>
  </si>
  <si>
    <r>
      <t xml:space="preserve">There’s a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 at mid-span (so support bays are 7.5 ft + 7.5 ft), and an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at the edge (then 1 ft cantilever past it).</t>
    </r>
  </si>
  <si>
    <r>
      <t>Outer beam clear span between its two posts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18 ft</t>
    </r>
    <r>
      <rPr>
        <sz val="11"/>
        <color theme="1"/>
        <rFont val="Aptos Narrow"/>
        <family val="2"/>
        <scheme val="minor"/>
      </rPr>
      <t xml:space="preserve"> (roof is 20 ft wide, so you’ve got 1 ft overhang past each post).</t>
    </r>
  </si>
  <si>
    <r>
      <t xml:space="preserve">Outer </t>
    </r>
    <r>
      <rPr>
        <b/>
        <sz val="11"/>
        <color theme="1"/>
        <rFont val="Aptos Narrow"/>
        <family val="2"/>
        <scheme val="minor"/>
      </rPr>
      <t>beam self-weight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250 lb</t>
    </r>
    <r>
      <rPr>
        <sz val="11"/>
        <color theme="1"/>
        <rFont val="Aptos Narrow"/>
        <family val="2"/>
        <scheme val="minor"/>
      </rPr>
      <t xml:space="preserve"> total (about </t>
    </r>
    <r>
      <rPr>
        <b/>
        <sz val="11"/>
        <color theme="1"/>
        <rFont val="Aptos Narrow"/>
        <family val="2"/>
        <scheme val="minor"/>
      </rPr>
      <t>13.9 plf</t>
    </r>
    <r>
      <rPr>
        <sz val="11"/>
        <color theme="1"/>
        <rFont val="Aptos Narrow"/>
        <family val="2"/>
        <scheme val="minor"/>
      </rPr>
      <t xml:space="preserve"> on that beam).</t>
    </r>
  </si>
  <si>
    <r>
      <t>Each post self-weight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85 lb</t>
    </r>
    <r>
      <rPr>
        <sz val="11"/>
        <color theme="1"/>
        <rFont val="Aptos Narrow"/>
        <family val="2"/>
        <scheme val="minor"/>
      </rPr>
      <t xml:space="preserve"> (this matters for footing reactions, not for beam design).</t>
    </r>
  </si>
  <si>
    <r>
      <t xml:space="preserve">Roof materials total weight (panels, purlins, etc., but </t>
    </r>
    <r>
      <rPr>
        <b/>
        <i/>
        <sz val="11"/>
        <color theme="1"/>
        <rFont val="Aptos Narrow"/>
        <family val="2"/>
        <scheme val="minor"/>
      </rPr>
      <t>not</t>
    </r>
    <r>
      <rPr>
        <b/>
        <sz val="11"/>
        <color theme="1"/>
        <rFont val="Aptos Narrow"/>
        <family val="2"/>
        <scheme val="minor"/>
      </rPr>
      <t xml:space="preserve"> the outer beam and posts)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1,200 lb</t>
    </r>
    <r>
      <rPr>
        <sz val="11"/>
        <color theme="1"/>
        <rFont val="Aptos Narrow"/>
        <family val="2"/>
        <scheme val="minor"/>
      </rPr>
      <t xml:space="preserve"> over </t>
    </r>
    <r>
      <rPr>
        <b/>
        <sz val="11"/>
        <color theme="1"/>
        <rFont val="Aptos Narrow"/>
        <family val="2"/>
        <scheme val="minor"/>
      </rPr>
      <t>16 × 20 = 320 ft²</t>
    </r>
    <r>
      <rPr>
        <sz val="11"/>
        <color theme="1"/>
        <rFont val="Aptos Narrow"/>
        <family val="2"/>
        <scheme val="minor"/>
      </rPr>
      <t>.</t>
    </r>
  </si>
  <si>
    <t>2) Base dead-load intensity (psf) from the 1,200 lb</t>
  </si>
  <si>
    <t>q_{DL} ,(\text{psf}) ;=; \frac{1{,}200\ \text{lb}}{320\ \text{ft}^2} ;=; \mathbf{3.75\ psf}</t>
  </si>
  <si>
    <r>
      <t xml:space="preserve">This is just the roof assembly weight. You’ll add </t>
    </r>
    <r>
      <rPr>
        <b/>
        <sz val="11"/>
        <color theme="1"/>
        <rFont val="Aptos Narrow"/>
        <family val="2"/>
        <scheme val="minor"/>
      </rPr>
      <t>snow (SL_psf)</t>
    </r>
    <r>
      <rPr>
        <sz val="11"/>
        <color theme="1"/>
        <rFont val="Aptos Narrow"/>
        <family val="2"/>
        <scheme val="minor"/>
      </rPr>
      <t xml:space="preserve"> later—snow will dominate the design.</t>
    </r>
  </si>
  <si>
    <t>3) Tributary width for each support line</t>
  </si>
  <si>
    <r>
      <t xml:space="preserve">With a middle beam and an edge beam </t>
    </r>
    <r>
      <rPr>
        <b/>
        <sz val="11"/>
        <color theme="1"/>
        <rFont val="Aptos Narrow"/>
        <family val="2"/>
        <scheme val="minor"/>
      </rPr>
      <t>plus a 1 ft front overhang</t>
    </r>
    <r>
      <rPr>
        <sz val="11"/>
        <color theme="1"/>
        <rFont val="Aptos Narrow"/>
        <family val="2"/>
        <scheme val="minor"/>
      </rPr>
      <t>:</t>
    </r>
  </si>
  <si>
    <r>
      <t>Middle beam</t>
    </r>
    <r>
      <rPr>
        <sz val="11"/>
        <color theme="1"/>
        <rFont val="Aptos Narrow"/>
        <family val="2"/>
        <scheme val="minor"/>
      </rPr>
      <t xml:space="preserve"> tributary width = ½ of each adjacent bay = 7.5/2 + 7.5/2 = </t>
    </r>
    <r>
      <rPr>
        <b/>
        <sz val="11"/>
        <color theme="1"/>
        <rFont val="Aptos Narrow"/>
        <family val="2"/>
        <scheme val="minor"/>
      </rPr>
      <t>7.5 ft</t>
    </r>
  </si>
  <si>
    <r>
      <t>Outer (edge) beam</t>
    </r>
    <r>
      <rPr>
        <sz val="11"/>
        <color theme="1"/>
        <rFont val="Aptos Narrow"/>
        <family val="2"/>
        <scheme val="minor"/>
      </rPr>
      <t xml:space="preserve"> tributary width = ½ of the adjacent bay </t>
    </r>
    <r>
      <rPr>
        <b/>
        <sz val="11"/>
        <color theme="1"/>
        <rFont val="Aptos Narrow"/>
        <family val="2"/>
        <scheme val="minor"/>
      </rPr>
      <t>+ full front overhang</t>
    </r>
  </si>
  <si>
    <r>
      <t xml:space="preserve">= 7.5/2 + 1.0 = </t>
    </r>
    <r>
      <rPr>
        <b/>
        <sz val="11"/>
        <color theme="1"/>
        <rFont val="Aptos Narrow"/>
        <family val="2"/>
        <scheme val="minor"/>
      </rPr>
      <t>3.75 + 1.0 = 4.75 ft</t>
    </r>
  </si>
  <si>
    <t>(Reason: the cantilever past the outer beam is fully “attributed” to that beam.)</t>
  </si>
  <si>
    <r>
      <t>House ledger</t>
    </r>
    <r>
      <rPr>
        <sz val="11"/>
        <color theme="1"/>
        <rFont val="Aptos Narrow"/>
        <family val="2"/>
        <scheme val="minor"/>
      </rPr>
      <t xml:space="preserve"> tributary width = ½ of its adjacent bay (no back overhang) = </t>
    </r>
    <r>
      <rPr>
        <b/>
        <sz val="11"/>
        <color theme="1"/>
        <rFont val="Aptos Narrow"/>
        <family val="2"/>
        <scheme val="minor"/>
      </rPr>
      <t>3.75 ft</t>
    </r>
  </si>
  <si>
    <t>4) Convert psf → plf for each beam (dead load only)</t>
  </si>
  <si>
    <t>Use ( w = q \times \text{tributary width} ).</t>
  </si>
  <si>
    <r>
      <t>Middle beam</t>
    </r>
    <r>
      <rPr>
        <sz val="11"/>
        <color theme="1"/>
        <rFont val="Aptos Narrow"/>
        <family val="2"/>
        <scheme val="minor"/>
      </rPr>
      <t>:</t>
    </r>
  </si>
  <si>
    <t>( w_{DL,\text{mid}} = 3.75 \times 7.5 = \mathbf{28.13\ plf} )</t>
  </si>
  <si>
    <r>
      <t>Outer beam</t>
    </r>
    <r>
      <rPr>
        <sz val="11"/>
        <color theme="1"/>
        <rFont val="Aptos Narrow"/>
        <family val="2"/>
        <scheme val="minor"/>
      </rPr>
      <t xml:space="preserve"> (roof only):</t>
    </r>
  </si>
  <si>
    <t>( w_{DL,\text{out, roof}} = 3.75 \times 4.75 = \mathbf{17.81\ plf} )</t>
  </si>
  <si>
    <r>
      <t>Add outer beam self-weight</t>
    </r>
    <r>
      <rPr>
        <sz val="11"/>
        <color theme="1"/>
        <rFont val="Aptos Narrow"/>
        <family val="2"/>
        <scheme val="minor"/>
      </rPr>
      <t>:</t>
    </r>
  </si>
  <si>
    <t>( w_{\text{beam self}} = 250\ \text{lb} / 18\ \text{ft} = \mathbf{13.89\ plf} )</t>
  </si>
  <si>
    <r>
      <t>Outer beam total DL line load</t>
    </r>
    <r>
      <rPr>
        <sz val="11"/>
        <color theme="1"/>
        <rFont val="Aptos Narrow"/>
        <family val="2"/>
        <scheme val="minor"/>
      </rPr>
      <t>:</t>
    </r>
  </si>
  <si>
    <t>( w_{DL,\text{out, total}} = 17.81 + 13.89 = \mathbf{31.70\ plf} )</t>
  </si>
  <si>
    <r>
      <t xml:space="preserve">The </t>
    </r>
    <r>
      <rPr>
        <b/>
        <sz val="11"/>
        <color theme="1"/>
        <rFont val="Aptos Narrow"/>
        <family val="2"/>
        <scheme val="minor"/>
      </rPr>
      <t>post self-weights (85 lb each)</t>
    </r>
    <r>
      <rPr>
        <sz val="11"/>
        <color theme="1"/>
        <rFont val="Aptos Narrow"/>
        <family val="2"/>
        <scheme val="minor"/>
      </rPr>
      <t xml:space="preserve"> go straight to the </t>
    </r>
    <r>
      <rPr>
        <b/>
        <sz val="11"/>
        <color theme="1"/>
        <rFont val="Aptos Narrow"/>
        <family val="2"/>
        <scheme val="minor"/>
      </rPr>
      <t>footings</t>
    </r>
    <r>
      <rPr>
        <sz val="11"/>
        <color theme="1"/>
        <rFont val="Aptos Narrow"/>
        <family val="2"/>
        <scheme val="minor"/>
      </rPr>
      <t xml:space="preserve">; they don’t add to the </t>
    </r>
    <r>
      <rPr>
        <b/>
        <sz val="11"/>
        <color theme="1"/>
        <rFont val="Aptos Narrow"/>
        <family val="2"/>
        <scheme val="minor"/>
      </rPr>
      <t>beam line load</t>
    </r>
    <r>
      <rPr>
        <sz val="11"/>
        <color theme="1"/>
        <rFont val="Aptos Narrow"/>
        <family val="2"/>
        <scheme val="minor"/>
      </rPr>
      <t>.</t>
    </r>
  </si>
  <si>
    <t>5) Reactions at posts from DL only (no snow yet)</t>
  </si>
  <si>
    <t>For a simple span (L = 18) ft with uniform line load (w), total load = (wL); each post reaction (\approx wL/2).</t>
  </si>
  <si>
    <r>
      <t>Middle beam</t>
    </r>
    <r>
      <rPr>
        <sz val="11"/>
        <color theme="1"/>
        <rFont val="Aptos Narrow"/>
        <family val="2"/>
        <scheme val="minor"/>
      </rPr>
      <t xml:space="preserve"> (assume it also spans ~18 ft):</t>
    </r>
  </si>
  <si>
    <r>
      <t xml:space="preserve">Total = (28.13 \times 18 = 506\ \text{lb}) → </t>
    </r>
    <r>
      <rPr>
        <b/>
        <sz val="11"/>
        <color theme="1"/>
        <rFont val="Aptos Narrow"/>
        <family val="2"/>
        <scheme val="minor"/>
      </rPr>
      <t>Reaction per post ≈ 253 lb</t>
    </r>
  </si>
  <si>
    <r>
      <t>Outer beam</t>
    </r>
    <r>
      <rPr>
        <sz val="11"/>
        <color theme="1"/>
        <rFont val="Aptos Narrow"/>
        <family val="2"/>
        <scheme val="minor"/>
      </rPr>
      <t>:</t>
    </r>
  </si>
  <si>
    <r>
      <t xml:space="preserve">Total = (31.70 \times 18 = 571\ \text{lb}) → </t>
    </r>
    <r>
      <rPr>
        <b/>
        <sz val="11"/>
        <color theme="1"/>
        <rFont val="Aptos Narrow"/>
        <family val="2"/>
        <scheme val="minor"/>
      </rPr>
      <t>Reaction per post ≈ 285 lb</t>
    </r>
  </si>
  <si>
    <r>
      <t xml:space="preserve">These dead-load reactions are small because </t>
    </r>
    <r>
      <rPr>
        <b/>
        <sz val="11"/>
        <color theme="1"/>
        <rFont val="Aptos Narrow"/>
        <family val="2"/>
        <scheme val="minor"/>
      </rPr>
      <t>DL = 3.75 psf</t>
    </r>
    <r>
      <rPr>
        <sz val="11"/>
        <color theme="1"/>
        <rFont val="Aptos Narrow"/>
        <family val="2"/>
        <scheme val="minor"/>
      </rPr>
      <t xml:space="preserve"> is light. </t>
    </r>
    <r>
      <rPr>
        <b/>
        <sz val="11"/>
        <color theme="1"/>
        <rFont val="Aptos Narrow"/>
        <family val="2"/>
        <scheme val="minor"/>
      </rPr>
      <t>Snow</t>
    </r>
    <r>
      <rPr>
        <sz val="11"/>
        <color theme="1"/>
        <rFont val="Aptos Narrow"/>
        <family val="2"/>
        <scheme val="minor"/>
      </rPr>
      <t xml:space="preserve"> will increase reactions dramatically—don’t judge sizes from DL alone.</t>
    </r>
  </si>
  <si>
    <t>6) What to enter in your Inputs sheet</t>
  </si>
  <si>
    <r>
      <t>DL_psf</t>
    </r>
    <r>
      <rPr>
        <sz val="11"/>
        <color theme="1"/>
        <rFont val="Aptos Narrow"/>
        <family val="2"/>
        <scheme val="minor"/>
      </rPr>
      <t xml:space="preserve"> = </t>
    </r>
    <r>
      <rPr>
        <b/>
        <sz val="11"/>
        <color theme="1"/>
        <rFont val="Aptos Narrow"/>
        <family val="2"/>
        <scheme val="minor"/>
      </rPr>
      <t>3.75</t>
    </r>
    <r>
      <rPr>
        <sz val="11"/>
        <color theme="1"/>
        <rFont val="Aptos Narrow"/>
        <family val="2"/>
        <scheme val="minor"/>
      </rPr>
      <t xml:space="preserve"> (from your 1,200 lb / 320 ft²)</t>
    </r>
  </si>
  <si>
    <r>
      <t>SL_psf</t>
    </r>
    <r>
      <rPr>
        <sz val="11"/>
        <color theme="1"/>
        <rFont val="Aptos Narrow"/>
        <family val="2"/>
        <scheme val="minor"/>
      </rPr>
      <t xml:space="preserve"> = your site’s snow load (e.g., 30 psf is a common starting point in Fraser Valley—confirm your exact design snow)</t>
    </r>
  </si>
  <si>
    <r>
      <t>LL_psf</t>
    </r>
    <r>
      <rPr>
        <sz val="11"/>
        <color theme="1"/>
        <rFont val="Aptos Narrow"/>
        <family val="2"/>
        <scheme val="minor"/>
      </rPr>
      <t xml:space="preserve"> = 0 (or a small maintenance load if you prefer)</t>
    </r>
  </si>
  <si>
    <r>
      <t>tributary_width_ft</t>
    </r>
    <r>
      <rPr>
        <sz val="11"/>
        <color theme="1"/>
        <rFont val="Aptos Narrow"/>
        <family val="2"/>
        <scheme val="minor"/>
      </rPr>
      <t>:</t>
    </r>
  </si>
  <si>
    <r>
      <t xml:space="preserve">Use </t>
    </r>
    <r>
      <rPr>
        <b/>
        <sz val="11"/>
        <color theme="1"/>
        <rFont val="Aptos Narrow"/>
        <family val="2"/>
        <scheme val="minor"/>
      </rPr>
      <t>7.5</t>
    </r>
    <r>
      <rPr>
        <sz val="11"/>
        <color theme="1"/>
        <rFont val="Aptos Narrow"/>
        <family val="2"/>
        <scheme val="minor"/>
      </rPr>
      <t xml:space="preserve"> when screening the </t>
    </r>
    <r>
      <rPr>
        <b/>
        <sz val="11"/>
        <color theme="1"/>
        <rFont val="Aptos Narrow"/>
        <family val="2"/>
        <scheme val="minor"/>
      </rPr>
      <t>middle beam</t>
    </r>
  </si>
  <si>
    <r>
      <t xml:space="preserve">Use </t>
    </r>
    <r>
      <rPr>
        <b/>
        <sz val="11"/>
        <color theme="1"/>
        <rFont val="Aptos Narrow"/>
        <family val="2"/>
        <scheme val="minor"/>
      </rPr>
      <t>4.75</t>
    </r>
    <r>
      <rPr>
        <sz val="11"/>
        <color theme="1"/>
        <rFont val="Aptos Narrow"/>
        <family val="2"/>
        <scheme val="minor"/>
      </rPr>
      <t xml:space="preserve"> when screening the </t>
    </r>
    <r>
      <rPr>
        <b/>
        <sz val="11"/>
        <color theme="1"/>
        <rFont val="Aptos Narrow"/>
        <family val="2"/>
        <scheme val="minor"/>
      </rPr>
      <t>outer beam</t>
    </r>
  </si>
  <si>
    <r>
      <t>span_ft</t>
    </r>
    <r>
      <rPr>
        <sz val="11"/>
        <color theme="1"/>
        <rFont val="Aptos Narrow"/>
        <family val="2"/>
        <scheme val="minor"/>
      </rPr>
      <t xml:space="preserve">: </t>
    </r>
    <r>
      <rPr>
        <b/>
        <sz val="11"/>
        <color theme="1"/>
        <rFont val="Aptos Narrow"/>
        <family val="2"/>
        <scheme val="minor"/>
      </rPr>
      <t>18</t>
    </r>
    <r>
      <rPr>
        <sz val="11"/>
        <color theme="1"/>
        <rFont val="Aptos Narrow"/>
        <family val="2"/>
        <scheme val="minor"/>
      </rPr>
      <t xml:space="preserve"> (for both beams if both are 18 ft between posts)</t>
    </r>
  </si>
  <si>
    <r>
      <t>Add beam self-weight</t>
    </r>
    <r>
      <rPr>
        <sz val="11"/>
        <color theme="1"/>
        <rFont val="Aptos Narrow"/>
        <family val="2"/>
        <scheme val="minor"/>
      </rPr>
      <t xml:space="preserve"> on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by either:</t>
    </r>
  </si>
  <si>
    <r>
      <t xml:space="preserve">Keeping </t>
    </r>
    <r>
      <rPr>
        <b/>
        <sz val="11"/>
        <color theme="1"/>
        <rFont val="Aptos Narrow"/>
        <family val="2"/>
        <scheme val="minor"/>
      </rPr>
      <t>DL_psf = 3.75</t>
    </r>
    <r>
      <rPr>
        <sz val="11"/>
        <color theme="1"/>
        <rFont val="Aptos Narrow"/>
        <family val="2"/>
        <scheme val="minor"/>
      </rPr>
      <t xml:space="preserve"> and letting the program </t>
    </r>
    <r>
      <rPr>
        <b/>
        <sz val="11"/>
        <color theme="1"/>
        <rFont val="Aptos Narrow"/>
        <family val="2"/>
        <scheme val="minor"/>
      </rPr>
      <t>add 13.9 plf</t>
    </r>
    <r>
      <rPr>
        <sz val="11"/>
        <color theme="1"/>
        <rFont val="Aptos Narrow"/>
        <family val="2"/>
        <scheme val="minor"/>
      </rPr>
      <t xml:space="preserve"> in a small custom term (we can add a field), </t>
    </r>
    <r>
      <rPr>
        <b/>
        <sz val="11"/>
        <color theme="1"/>
        <rFont val="Aptos Narrow"/>
        <family val="2"/>
        <scheme val="minor"/>
      </rPr>
      <t>or</t>
    </r>
  </si>
  <si>
    <t>Leave as-is and just remember the earlier estimate (31.7 plf) for reality checks.</t>
  </si>
  <si>
    <t>(If you want, I’ll add a “beam_self_weight_plf” input so it’s included automatically.)</t>
  </si>
  <si>
    <t>7) Don’t forget the connectors &amp; lateral</t>
  </si>
  <si>
    <r>
      <t xml:space="preserve">Once you set </t>
    </r>
    <r>
      <rPr>
        <b/>
        <sz val="11"/>
        <color theme="1"/>
        <rFont val="Aptos Narrow"/>
        <family val="2"/>
        <scheme val="minor"/>
      </rPr>
      <t>SL_psf</t>
    </r>
    <r>
      <rPr>
        <sz val="11"/>
        <color theme="1"/>
        <rFont val="Aptos Narrow"/>
        <family val="2"/>
        <scheme val="minor"/>
      </rPr>
      <t xml:space="preserve"> and re-run, check the </t>
    </r>
    <r>
      <rPr>
        <b/>
        <sz val="11"/>
        <color theme="1"/>
        <rFont val="Aptos Narrow"/>
        <family val="2"/>
        <scheme val="minor"/>
      </rPr>
      <t>post reactions</t>
    </r>
    <r>
      <rPr>
        <sz val="11"/>
        <color theme="1"/>
        <rFont val="Aptos Narrow"/>
        <family val="2"/>
        <scheme val="minor"/>
      </rPr>
      <t xml:space="preserve"> against your </t>
    </r>
    <r>
      <rPr>
        <b/>
        <sz val="11"/>
        <color theme="1"/>
        <rFont val="Aptos Narrow"/>
        <family val="2"/>
        <scheme val="minor"/>
      </rPr>
      <t>APB66</t>
    </r>
    <r>
      <rPr>
        <sz val="11"/>
        <color theme="1"/>
        <rFont val="Aptos Narrow"/>
        <family val="2"/>
        <scheme val="minor"/>
      </rPr>
      <t xml:space="preserve"> uplift capacity, and check lateral demands against your </t>
    </r>
    <r>
      <rPr>
        <b/>
        <sz val="11"/>
        <color theme="1"/>
        <rFont val="Aptos Narrow"/>
        <family val="2"/>
        <scheme val="minor"/>
      </rPr>
      <t>top connection (e.g., 1616HTPC or APT6)</t>
    </r>
    <r>
      <rPr>
        <sz val="11"/>
        <color theme="1"/>
        <rFont val="Aptos Narrow"/>
        <family val="2"/>
        <scheme val="minor"/>
      </rPr>
      <t xml:space="preserve"> limits.</t>
    </r>
  </si>
  <si>
    <r>
      <t xml:space="preserve">If you plan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, set </t>
    </r>
    <r>
      <rPr>
        <sz val="10"/>
        <color theme="1"/>
        <rFont val="Arial Unicode MS"/>
      </rPr>
      <t>has_knee_braces = Yes</t>
    </r>
    <r>
      <rPr>
        <sz val="11"/>
        <color theme="1"/>
        <rFont val="Aptos Narrow"/>
        <family val="2"/>
        <scheme val="minor"/>
      </rPr>
      <t>—that tells you the frame has real lateral support (your beam still needs to pass strength/deflection).</t>
    </r>
  </si>
  <si>
    <r>
      <t xml:space="preserve">If you give me your </t>
    </r>
    <r>
      <rPr>
        <b/>
        <sz val="11"/>
        <color theme="1"/>
        <rFont val="Aptos Narrow"/>
        <family val="2"/>
        <scheme val="minor"/>
      </rPr>
      <t>design snow psf</t>
    </r>
    <r>
      <rPr>
        <sz val="11"/>
        <color theme="1"/>
        <rFont val="Aptos Narrow"/>
        <family val="2"/>
        <scheme val="minor"/>
      </rPr>
      <t xml:space="preserve"> and confirm whether the </t>
    </r>
    <r>
      <rPr>
        <b/>
        <sz val="11"/>
        <color theme="1"/>
        <rFont val="Aptos Narrow"/>
        <family val="2"/>
        <scheme val="minor"/>
      </rPr>
      <t>middle beam span</t>
    </r>
    <r>
      <rPr>
        <sz val="11"/>
        <color theme="1"/>
        <rFont val="Aptos Narrow"/>
        <family val="2"/>
        <scheme val="minor"/>
      </rPr>
      <t xml:space="preserve"> is also 18 ft, I’ll run the numbers and tell you exactly where </t>
    </r>
    <r>
      <rPr>
        <b/>
        <sz val="11"/>
        <color theme="1"/>
        <rFont val="Aptos Narrow"/>
        <family val="2"/>
        <scheme val="minor"/>
      </rPr>
      <t>bending/deflection</t>
    </r>
    <r>
      <rPr>
        <sz val="11"/>
        <color theme="1"/>
        <rFont val="Aptos Narrow"/>
        <family val="2"/>
        <scheme val="minor"/>
      </rPr>
      <t xml:space="preserve"> will land for </t>
    </r>
    <r>
      <rPr>
        <b/>
        <sz val="11"/>
        <color theme="1"/>
        <rFont val="Aptos Narrow"/>
        <family val="2"/>
        <scheme val="minor"/>
      </rPr>
      <t>6×8 vs 6×10</t>
    </r>
    <r>
      <rPr>
        <sz val="11"/>
        <color theme="1"/>
        <rFont val="Aptos Narrow"/>
        <family val="2"/>
        <scheme val="minor"/>
      </rPr>
      <t xml:space="preserve">, plus show </t>
    </r>
    <r>
      <rPr>
        <b/>
        <sz val="11"/>
        <color theme="1"/>
        <rFont val="Aptos Narrow"/>
        <family val="2"/>
        <scheme val="minor"/>
      </rPr>
      <t>connector utilization</t>
    </r>
    <r>
      <rPr>
        <sz val="11"/>
        <color theme="1"/>
        <rFont val="Aptos Narrow"/>
        <family val="2"/>
        <scheme val="minor"/>
      </rPr>
      <t xml:space="preserve"> (uplift/lateral).</t>
    </r>
  </si>
  <si>
    <t>Posts</t>
  </si>
  <si>
    <r>
      <t xml:space="preserve">Great question — let’s unpack </t>
    </r>
    <r>
      <rPr>
        <b/>
        <sz val="11"/>
        <color theme="1"/>
        <rFont val="Aptos Narrow"/>
        <family val="2"/>
        <scheme val="minor"/>
      </rPr>
      <t>Fc′ (Fc_axis_prime)</t>
    </r>
    <r>
      <rPr>
        <sz val="11"/>
        <color theme="1"/>
        <rFont val="Aptos Narrow"/>
        <family val="2"/>
        <scheme val="minor"/>
      </rPr>
      <t xml:space="preserve"> clearly.</t>
    </r>
  </si>
  <si>
    <t>1. What it is</t>
  </si>
  <si>
    <r>
      <t>Fc′</t>
    </r>
    <r>
      <rPr>
        <sz val="11"/>
        <color theme="1"/>
        <rFont val="Aptos Narrow"/>
        <family val="2"/>
        <scheme val="minor"/>
      </rPr>
      <t xml:space="preserve"> = </t>
    </r>
    <r>
      <rPr>
        <b/>
        <sz val="11"/>
        <color theme="1"/>
        <rFont val="Aptos Narrow"/>
        <family val="2"/>
        <scheme val="minor"/>
      </rPr>
      <t>Allowable compressive strength of wood parallel to grain</t>
    </r>
    <r>
      <rPr>
        <sz val="11"/>
        <color theme="1"/>
        <rFont val="Aptos Narrow"/>
        <family val="2"/>
        <scheme val="minor"/>
      </rPr>
      <t xml:space="preserve"> (sometimes written as (F_c') or (F_c)).</t>
    </r>
  </si>
  <si>
    <r>
      <t xml:space="preserve">It tells you how much </t>
    </r>
    <r>
      <rPr>
        <b/>
        <sz val="11"/>
        <color theme="1"/>
        <rFont val="Aptos Narrow"/>
        <family val="2"/>
        <scheme val="minor"/>
      </rPr>
      <t>axial load per unit area</t>
    </r>
    <r>
      <rPr>
        <sz val="11"/>
        <color theme="1"/>
        <rFont val="Aptos Narrow"/>
        <family val="2"/>
        <scheme val="minor"/>
      </rPr>
      <t xml:space="preserve"> (psi) a post/column of a given wood species and grade can safely carry </t>
    </r>
    <r>
      <rPr>
        <b/>
        <sz val="11"/>
        <color theme="1"/>
        <rFont val="Aptos Narrow"/>
        <family val="2"/>
        <scheme val="minor"/>
      </rPr>
      <t>along the grain</t>
    </r>
    <r>
      <rPr>
        <sz val="11"/>
        <color theme="1"/>
        <rFont val="Aptos Narrow"/>
        <family val="2"/>
        <scheme val="minor"/>
      </rPr>
      <t xml:space="preserve"> (vertical direction for posts).</t>
    </r>
  </si>
  <si>
    <r>
      <t xml:space="preserve">This is the number you use when checking whether your </t>
    </r>
    <r>
      <rPr>
        <b/>
        <sz val="11"/>
        <color theme="1"/>
        <rFont val="Aptos Narrow"/>
        <family val="2"/>
        <scheme val="minor"/>
      </rPr>
      <t>posts are strong enough</t>
    </r>
    <r>
      <rPr>
        <sz val="11"/>
        <color theme="1"/>
        <rFont val="Aptos Narrow"/>
        <family val="2"/>
        <scheme val="minor"/>
      </rPr>
      <t xml:space="preserve"> to carry the reaction load from the beam + roof down to the footing.</t>
    </r>
  </si>
  <si>
    <t>2. Where it comes from</t>
  </si>
  <si>
    <r>
      <t xml:space="preserve">Values are published by the </t>
    </r>
    <r>
      <rPr>
        <b/>
        <sz val="11"/>
        <color theme="1"/>
        <rFont val="Aptos Narrow"/>
        <family val="2"/>
        <scheme val="minor"/>
      </rPr>
      <t>National Design Specification (NDS) for Wood Construction</t>
    </r>
    <r>
      <rPr>
        <sz val="11"/>
        <color theme="1"/>
        <rFont val="Aptos Narrow"/>
        <family val="2"/>
        <scheme val="minor"/>
      </rPr>
      <t xml:space="preserve"> (in the U.S.).</t>
    </r>
  </si>
  <si>
    <r>
      <t xml:space="preserve">In Canada, they are published in the </t>
    </r>
    <r>
      <rPr>
        <b/>
        <sz val="11"/>
        <color theme="1"/>
        <rFont val="Aptos Narrow"/>
        <family val="2"/>
        <scheme val="minor"/>
      </rPr>
      <t>Canadian Wood Council (CWC) span tables</t>
    </r>
    <r>
      <rPr>
        <sz val="11"/>
        <color theme="1"/>
        <rFont val="Aptos Narrow"/>
        <family val="2"/>
        <scheme val="minor"/>
      </rPr>
      <t xml:space="preserve"> and referenced in the </t>
    </r>
    <r>
      <rPr>
        <b/>
        <sz val="11"/>
        <color theme="1"/>
        <rFont val="Aptos Narrow"/>
        <family val="2"/>
        <scheme val="minor"/>
      </rPr>
      <t>BC Building Code (Part 9, Structural Tables)</t>
    </r>
    <r>
      <rPr>
        <sz val="11"/>
        <color theme="1"/>
        <rFont val="Aptos Narrow"/>
        <family val="2"/>
        <scheme val="minor"/>
      </rPr>
      <t>.</t>
    </r>
  </si>
  <si>
    <r>
      <t xml:space="preserve">They are given by </t>
    </r>
    <r>
      <rPr>
        <b/>
        <sz val="11"/>
        <color theme="1"/>
        <rFont val="Aptos Narrow"/>
        <family val="2"/>
        <scheme val="minor"/>
      </rPr>
      <t>species and grade</t>
    </r>
    <r>
      <rPr>
        <sz val="11"/>
        <color theme="1"/>
        <rFont val="Aptos Narrow"/>
        <family val="2"/>
        <scheme val="minor"/>
      </rPr>
      <t xml:space="preserve"> (e.g., Douglas Fir No. 2, SPF No. 2, Cedar Select).</t>
    </r>
  </si>
  <si>
    <t>3. Typical values (approximate, psi)</t>
  </si>
  <si>
    <t>From design tables (before applying adjustment factors):</t>
  </si>
  <si>
    <t>Species (No. 2 grade)</t>
  </si>
  <si>
    <t>Fc′ (psi, parallel to grain)</t>
  </si>
  <si>
    <t>SPF (Spruce-Pine-Fir)</t>
  </si>
  <si>
    <t>~1,150 psi</t>
  </si>
  <si>
    <t>Douglas Fir-Larch</t>
  </si>
  <si>
    <t>~1,350 psi</t>
  </si>
  <si>
    <t>Hem-Fir</t>
  </si>
  <si>
    <t>Western Red Cedar</t>
  </si>
  <si>
    <t>~825 psi</t>
  </si>
  <si>
    <r>
      <t xml:space="preserve">⚠️ These are </t>
    </r>
    <r>
      <rPr>
        <b/>
        <sz val="11"/>
        <color theme="1"/>
        <rFont val="Aptos Narrow"/>
        <family val="2"/>
        <scheme val="minor"/>
      </rPr>
      <t>base design values</t>
    </r>
    <r>
      <rPr>
        <sz val="11"/>
        <color theme="1"/>
        <rFont val="Aptos Narrow"/>
        <family val="2"/>
        <scheme val="minor"/>
      </rPr>
      <t>. In real design, you apply adjustment factors:</t>
    </r>
  </si>
  <si>
    <r>
      <t>Size factor (Cf)</t>
    </r>
    <r>
      <rPr>
        <sz val="11"/>
        <color theme="1"/>
        <rFont val="Aptos Narrow"/>
        <family val="2"/>
        <scheme val="minor"/>
      </rPr>
      <t xml:space="preserve"> — larger posts have slightly lower capacity.</t>
    </r>
  </si>
  <si>
    <r>
      <t>Load duration factor (Cd)</t>
    </r>
    <r>
      <rPr>
        <sz val="11"/>
        <color theme="1"/>
        <rFont val="Aptos Narrow"/>
        <family val="2"/>
        <scheme val="minor"/>
      </rPr>
      <t xml:space="preserve"> — higher allowable stress for short-term loads (like snow).</t>
    </r>
  </si>
  <si>
    <r>
      <t>Column stability factor (Cp)</t>
    </r>
    <r>
      <rPr>
        <sz val="11"/>
        <color theme="1"/>
        <rFont val="Aptos Narrow"/>
        <family val="2"/>
        <scheme val="minor"/>
      </rPr>
      <t xml:space="preserve"> — reduces capacity if the post is tall and slender.</t>
    </r>
  </si>
  <si>
    <t>So the final allowable stress is:</t>
  </si>
  <si>
    <t>F_c' = F_c \times C_f \times C_d \times C_p</t>
  </si>
  <si>
    <t>4. Where to find your number</t>
  </si>
  <si>
    <r>
      <t>BC Building Code – Span Tables</t>
    </r>
    <r>
      <rPr>
        <sz val="11"/>
        <color theme="1"/>
        <rFont val="Aptos Narrow"/>
        <family val="2"/>
        <scheme val="minor"/>
      </rPr>
      <t xml:space="preserve"> → Appendix D (Table D-2.5.2 &amp; related).</t>
    </r>
  </si>
  <si>
    <r>
      <t>Canadian Wood Council (CWC) online calculator</t>
    </r>
    <r>
      <rPr>
        <sz val="11"/>
        <color theme="1"/>
        <rFont val="Aptos Narrow"/>
        <family val="2"/>
        <scheme val="minor"/>
      </rPr>
      <t xml:space="preserve"> → has column/post capacity by species and size.</t>
    </r>
  </si>
  <si>
    <r>
      <t>NDS Supplement Tables (U.S.)</t>
    </r>
    <r>
      <rPr>
        <sz val="11"/>
        <color theme="1"/>
        <rFont val="Aptos Narrow"/>
        <family val="2"/>
        <scheme val="minor"/>
      </rPr>
      <t xml:space="preserve"> → full set of Fc values by species/grade.</t>
    </r>
  </si>
  <si>
    <r>
      <t xml:space="preserve">Or from </t>
    </r>
    <r>
      <rPr>
        <b/>
        <sz val="11"/>
        <color theme="1"/>
        <rFont val="Aptos Narrow"/>
        <family val="2"/>
        <scheme val="minor"/>
      </rPr>
      <t>lumber suppliers</t>
    </r>
    <r>
      <rPr>
        <sz val="11"/>
        <color theme="1"/>
        <rFont val="Aptos Narrow"/>
        <family val="2"/>
        <scheme val="minor"/>
      </rPr>
      <t xml:space="preserve"> (sometimes stamped directly on engineered products).</t>
    </r>
  </si>
  <si>
    <t>5. How you’ll use it</t>
  </si>
  <si>
    <t>In your program:</t>
  </si>
  <si>
    <r>
      <t xml:space="preserve">1. Take the </t>
    </r>
    <r>
      <rPr>
        <b/>
        <sz val="11"/>
        <color theme="1"/>
        <rFont val="Aptos Narrow"/>
        <family val="2"/>
        <scheme val="minor"/>
      </rPr>
      <t>reaction load at each post</t>
    </r>
    <r>
      <rPr>
        <sz val="11"/>
        <color theme="1"/>
        <rFont val="Aptos Narrow"/>
        <family val="2"/>
        <scheme val="minor"/>
      </rPr>
      <t xml:space="preserve"> (lb).</t>
    </r>
  </si>
  <si>
    <r>
      <t xml:space="preserve">2. Divide by </t>
    </r>
    <r>
      <rPr>
        <b/>
        <sz val="11"/>
        <color theme="1"/>
        <rFont val="Aptos Narrow"/>
        <family val="2"/>
        <scheme val="minor"/>
      </rPr>
      <t>post cross-sectional area</t>
    </r>
    <r>
      <rPr>
        <sz val="11"/>
        <color theme="1"/>
        <rFont val="Aptos Narrow"/>
        <family val="2"/>
        <scheme val="minor"/>
      </rPr>
      <t xml:space="preserve"> (in²).</t>
    </r>
  </si>
  <si>
    <t>f_{c,actual} = \frac{P}{A}</t>
  </si>
  <si>
    <r>
      <t xml:space="preserve">3. Compare to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 xml:space="preserve"> (adjusted).</t>
    </r>
  </si>
  <si>
    <t>f_{c,actual} \leq F_c′</t>
  </si>
  <si>
    <t>If actual stress is less than Fc′, the post is structurally acceptable.</t>
  </si>
  <si>
    <r>
      <t xml:space="preserve">👉 Do you want me to pull the </t>
    </r>
    <r>
      <rPr>
        <b/>
        <sz val="11"/>
        <color theme="1"/>
        <rFont val="Aptos Narrow"/>
        <family val="2"/>
        <scheme val="minor"/>
      </rPr>
      <t>exact Fc′ table values for Western Red Cedar and SPF (since you mentioned cedar posts and pine lower structure)</t>
    </r>
    <r>
      <rPr>
        <sz val="11"/>
        <color theme="1"/>
        <rFont val="Aptos Narrow"/>
        <family val="2"/>
        <scheme val="minor"/>
      </rPr>
      <t xml:space="preserve"> and prepare them in a sheet so you can directly use them in your calculation program?</t>
    </r>
  </si>
  <si>
    <t>Explain Fc axis prime</t>
  </si>
  <si>
    <t>Lateral &amp; stability flags</t>
  </si>
  <si>
    <t>Yes</t>
  </si>
  <si>
    <t>Connectors</t>
  </si>
  <si>
    <t>Wind &amp; uplift</t>
  </si>
  <si>
    <t>BC building code Roof Uplift table</t>
  </si>
  <si>
    <t>Calculate Roof Uplift PSF</t>
  </si>
  <si>
    <r>
      <t xml:space="preserve">Totally doable. Since you already have the </t>
    </r>
    <r>
      <rPr>
        <b/>
        <sz val="11"/>
        <color theme="1"/>
        <rFont val="Aptos Narrow"/>
        <family val="2"/>
        <scheme val="minor"/>
      </rPr>
      <t>BCBC Appendix C</t>
    </r>
    <r>
      <rPr>
        <sz val="11"/>
        <color theme="1"/>
        <rFont val="Aptos Narrow"/>
        <family val="2"/>
        <scheme val="minor"/>
      </rPr>
      <t xml:space="preserve"> table open, here’s a simple </t>
    </r>
    <r>
      <rPr>
        <b/>
        <sz val="11"/>
        <color theme="1"/>
        <rFont val="Aptos Narrow"/>
        <family val="2"/>
        <scheme val="minor"/>
      </rPr>
      <t>Excel-ready recipe</t>
    </r>
    <r>
      <rPr>
        <sz val="11"/>
        <color theme="1"/>
        <rFont val="Aptos Narrow"/>
        <family val="2"/>
        <scheme val="minor"/>
      </rPr>
      <t xml:space="preserve"> to turn those table values into the </t>
    </r>
    <r>
      <rPr>
        <b/>
        <sz val="11"/>
        <color theme="1"/>
        <rFont val="Aptos Narrow"/>
        <family val="2"/>
        <scheme val="minor"/>
      </rPr>
      <t>roof uplift psf</t>
    </r>
    <r>
      <rPr>
        <sz val="11"/>
        <color theme="1"/>
        <rFont val="Aptos Narrow"/>
        <family val="2"/>
        <scheme val="minor"/>
      </rPr>
      <t xml:space="preserve"> you can plug into your sheet.</t>
    </r>
  </si>
  <si>
    <t>I’ll use the NBCC/BCBC cladding formula (same basis as BCBC Part 4/NBCC 2015/2020):</t>
  </si>
  <si>
    <t>\boxed{p_\text{ext} = I_w ; q ; C_e ; C_t ; C_g ; C_p}</t>
  </si>
  <si>
    <t>\qquad</t>
  </si>
  <si>
    <t>\boxed{p_\text{int} = I_w ; q ; C_{ei} ; C_t ; C_{gi} ; C_{pi}}</t>
  </si>
  <si>
    <t>\boxed{p_\text{net} = p_\text{ext} - p_\text{int}}</t>
  </si>
  <si>
    <t>\quad\text{(negative = uplift)}</t>
  </si>
  <si>
    <r>
      <t xml:space="preserve">(q) is the </t>
    </r>
    <r>
      <rPr>
        <b/>
        <sz val="11"/>
        <color theme="1"/>
        <rFont val="Aptos Narrow"/>
        <family val="2"/>
        <scheme val="minor"/>
      </rPr>
      <t>reference velocity pressure</t>
    </r>
    <r>
      <rPr>
        <sz val="11"/>
        <color theme="1"/>
        <rFont val="Aptos Narrow"/>
        <family val="2"/>
        <scheme val="minor"/>
      </rPr>
      <t xml:space="preserve"> from Appendix C (kPa).</t>
    </r>
  </si>
  <si>
    <t>(I_w) = importance factor.</t>
  </si>
  <si>
    <t>(C_e) = exposure factor (by height/terrain).</t>
  </si>
  <si>
    <t>(C_t) = topographic factor.</t>
  </si>
  <si>
    <t>(C_g) = gust effect (external).</t>
  </si>
  <si>
    <r>
      <t xml:space="preserve">(C_p) = </t>
    </r>
    <r>
      <rPr>
        <b/>
        <sz val="11"/>
        <color theme="1"/>
        <rFont val="Aptos Narrow"/>
        <family val="2"/>
        <scheme val="minor"/>
      </rPr>
      <t>external</t>
    </r>
    <r>
      <rPr>
        <sz val="11"/>
        <color theme="1"/>
        <rFont val="Aptos Narrow"/>
        <family val="2"/>
        <scheme val="minor"/>
      </rPr>
      <t xml:space="preserve"> pressure coefficient for the </t>
    </r>
    <r>
      <rPr>
        <b/>
        <sz val="11"/>
        <color theme="1"/>
        <rFont val="Aptos Narrow"/>
        <family val="2"/>
        <scheme val="minor"/>
      </rPr>
      <t>roof zone</t>
    </r>
    <r>
      <rPr>
        <sz val="11"/>
        <color theme="1"/>
        <rFont val="Aptos Narrow"/>
        <family val="2"/>
        <scheme val="minor"/>
      </rPr>
      <t xml:space="preserve"> (corner/edge/field) and roof slope (negative values give suction/uplift).</t>
    </r>
  </si>
  <si>
    <r>
      <t xml:space="preserve">(C_{ei}, C_{gi}, C_{pi}) are the corresponding </t>
    </r>
    <r>
      <rPr>
        <b/>
        <sz val="11"/>
        <color theme="1"/>
        <rFont val="Aptos Narrow"/>
        <family val="2"/>
        <scheme val="minor"/>
      </rPr>
      <t>internal</t>
    </r>
    <r>
      <rPr>
        <sz val="11"/>
        <color theme="1"/>
        <rFont val="Aptos Narrow"/>
        <family val="2"/>
        <scheme val="minor"/>
      </rPr>
      <t xml:space="preserve"> factors (enclosed/partially enclosed/open).</t>
    </r>
  </si>
  <si>
    <t>This matches Canadian practice (NBCC/BCBC). (cssbi.ca)</t>
  </si>
  <si>
    <t>Excel layout (you can copy/paste)</t>
  </si>
  <si>
    <t>Inputs (put these in column B)</t>
  </si>
  <si>
    <r>
      <t>B2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q_ref_kPa</t>
    </r>
    <r>
      <rPr>
        <sz val="11"/>
        <color theme="1"/>
        <rFont val="Aptos Narrow"/>
        <family val="2"/>
        <scheme val="minor"/>
      </rPr>
      <t xml:space="preserve"> → from BCBC Appx C for your municipality (kPa)</t>
    </r>
  </si>
  <si>
    <r>
      <t>B3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Iw</t>
    </r>
    <r>
      <rPr>
        <sz val="11"/>
        <color theme="1"/>
        <rFont val="Aptos Narrow"/>
        <family val="2"/>
        <scheme val="minor"/>
      </rPr>
      <t xml:space="preserve"> → importance factor (often 1.0 for normal)</t>
    </r>
  </si>
  <si>
    <r>
      <t>B4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Ce</t>
    </r>
    <r>
      <rPr>
        <sz val="11"/>
        <color theme="1"/>
        <rFont val="Aptos Narrow"/>
        <family val="2"/>
        <scheme val="minor"/>
      </rPr>
      <t xml:space="preserve"> → exposure factor at mean roof height</t>
    </r>
  </si>
  <si>
    <r>
      <t>B5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Ct</t>
    </r>
    <r>
      <rPr>
        <sz val="11"/>
        <color theme="1"/>
        <rFont val="Aptos Narrow"/>
        <family val="2"/>
        <scheme val="minor"/>
      </rPr>
      <t xml:space="preserve"> → topographic factor (1.0 if none)</t>
    </r>
  </si>
  <si>
    <r>
      <t>B6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Cg_ext</t>
    </r>
    <r>
      <rPr>
        <sz val="11"/>
        <color theme="1"/>
        <rFont val="Aptos Narrow"/>
        <family val="2"/>
        <scheme val="minor"/>
      </rPr>
      <t xml:space="preserve"> → external gust factor</t>
    </r>
  </si>
  <si>
    <r>
      <t>B7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Cp_ext</t>
    </r>
    <r>
      <rPr>
        <sz val="11"/>
        <color theme="1"/>
        <rFont val="Aptos Narrow"/>
        <family val="2"/>
        <scheme val="minor"/>
      </rPr>
      <t xml:space="preserve"> → external roof pressure coeff (negative for uplift; pick zone &amp; slope)</t>
    </r>
  </si>
  <si>
    <r>
      <t>B8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Cei</t>
    </r>
    <r>
      <rPr>
        <sz val="11"/>
        <color theme="1"/>
        <rFont val="Aptos Narrow"/>
        <family val="2"/>
        <scheme val="minor"/>
      </rPr>
      <t xml:space="preserve"> → internal exposure factor (≈1.0 typical)</t>
    </r>
  </si>
  <si>
    <r>
      <t>B9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Cgi</t>
    </r>
    <r>
      <rPr>
        <sz val="11"/>
        <color theme="1"/>
        <rFont val="Aptos Narrow"/>
        <family val="2"/>
        <scheme val="minor"/>
      </rPr>
      <t xml:space="preserve"> → internal gust factor (NBCC often uses 2.0 unless you calculate)</t>
    </r>
  </si>
  <si>
    <r>
      <t>B10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Cpi</t>
    </r>
    <r>
      <rPr>
        <sz val="11"/>
        <color theme="1"/>
        <rFont val="Aptos Narrow"/>
        <family val="2"/>
        <scheme val="minor"/>
      </rPr>
      <t xml:space="preserve"> → internal pressure coeff (enclosed ±0.15; partially enclosed larger magnitude)</t>
    </r>
  </si>
  <si>
    <t>You’ll get q, Ce, Cg, Cp, Cgi, Cpi from NBCC/BCBC tables/figures associated with Appendix C (you already have that open); those are the official sources. (free.bcpublications.ca)</t>
  </si>
  <si>
    <t>Calculations</t>
  </si>
  <si>
    <r>
      <t>B12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p_ext_kPa</t>
    </r>
    <r>
      <rPr>
        <sz val="11"/>
        <color theme="1"/>
        <rFont val="Aptos Narrow"/>
        <family val="2"/>
        <scheme val="minor"/>
      </rPr>
      <t>:</t>
    </r>
  </si>
  <si>
    <r>
      <t>B13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p_int_kPa</t>
    </r>
    <r>
      <rPr>
        <sz val="11"/>
        <color theme="1"/>
        <rFont val="Aptos Narrow"/>
        <family val="2"/>
        <scheme val="minor"/>
      </rPr>
      <t>:</t>
    </r>
  </si>
  <si>
    <r>
      <t>B14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p_net_kPa</t>
    </r>
    <r>
      <rPr>
        <sz val="11"/>
        <color theme="1"/>
        <rFont val="Aptos Narrow"/>
        <family val="2"/>
        <scheme val="minor"/>
      </rPr>
      <t>:</t>
    </r>
  </si>
  <si>
    <r>
      <t>B15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p_net_psf</t>
    </r>
    <r>
      <rPr>
        <sz val="11"/>
        <color theme="1"/>
        <rFont val="Aptos Narrow"/>
        <family val="2"/>
        <scheme val="minor"/>
      </rPr>
      <t xml:space="preserve"> (convert kPa → psf):</t>
    </r>
  </si>
  <si>
    <r>
      <t>B16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(positive number for uplift to use in your sheet):</t>
    </r>
  </si>
  <si>
    <t>Conversion: 1 kPa = 20.885 psf. (nationaltimbergroup.com)</t>
  </si>
  <si>
    <t>How to pick the coefficients quickly</t>
  </si>
  <si>
    <r>
      <t>q_ref_kPa</t>
    </r>
    <r>
      <rPr>
        <sz val="11"/>
        <color theme="1"/>
        <rFont val="Aptos Narrow"/>
        <family val="2"/>
        <scheme val="minor"/>
      </rPr>
      <t xml:space="preserve">: From </t>
    </r>
    <r>
      <rPr>
        <b/>
        <sz val="11"/>
        <color theme="1"/>
        <rFont val="Aptos Narrow"/>
        <family val="2"/>
        <scheme val="minor"/>
      </rPr>
      <t>Appendix C</t>
    </r>
    <r>
      <rPr>
        <sz val="11"/>
        <color theme="1"/>
        <rFont val="Aptos Narrow"/>
        <family val="2"/>
        <scheme val="minor"/>
      </rPr>
      <t xml:space="preserve"> for your city (Fraser Valley municipality).</t>
    </r>
  </si>
  <si>
    <r>
      <t>Cp_ext</t>
    </r>
    <r>
      <rPr>
        <sz val="11"/>
        <color theme="1"/>
        <rFont val="Aptos Narrow"/>
        <family val="2"/>
        <scheme val="minor"/>
      </rPr>
      <t xml:space="preserve">: Use the </t>
    </r>
    <r>
      <rPr>
        <b/>
        <sz val="11"/>
        <color theme="1"/>
        <rFont val="Aptos Narrow"/>
        <family val="2"/>
        <scheme val="minor"/>
      </rPr>
      <t>roof zone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slope</t>
    </r>
    <r>
      <rPr>
        <sz val="11"/>
        <color theme="1"/>
        <rFont val="Aptos Narrow"/>
        <family val="2"/>
        <scheme val="minor"/>
      </rPr>
      <t xml:space="preserve"> that matches your cover (edge/corner zones are more negative = higher uplift).</t>
    </r>
  </si>
  <si>
    <r>
      <t>Cpi</t>
    </r>
    <r>
      <rPr>
        <sz val="11"/>
        <color theme="1"/>
        <rFont val="Aptos Narrow"/>
        <family val="2"/>
        <scheme val="minor"/>
      </rPr>
      <t xml:space="preserve">: Choose based on </t>
    </r>
    <r>
      <rPr>
        <b/>
        <sz val="11"/>
        <color theme="1"/>
        <rFont val="Aptos Narrow"/>
        <family val="2"/>
        <scheme val="minor"/>
      </rPr>
      <t>enclosure</t>
    </r>
    <r>
      <rPr>
        <sz val="11"/>
        <color theme="1"/>
        <rFont val="Aptos Narrow"/>
        <family val="2"/>
        <scheme val="minor"/>
      </rPr>
      <t>:</t>
    </r>
  </si>
  <si>
    <r>
      <t xml:space="preserve">Enclosed: typically </t>
    </r>
    <r>
      <rPr>
        <b/>
        <sz val="11"/>
        <color theme="1"/>
        <rFont val="Aptos Narrow"/>
        <family val="2"/>
        <scheme val="minor"/>
      </rPr>
      <t>±0.15</t>
    </r>
  </si>
  <si>
    <t>Partially enclosed: larger magnitude (consult NBCC table)</t>
  </si>
  <si>
    <r>
      <t>Cg/Cgi</t>
    </r>
    <r>
      <rPr>
        <sz val="11"/>
        <color theme="1"/>
        <rFont val="Aptos Narrow"/>
        <family val="2"/>
        <scheme val="minor"/>
      </rPr>
      <t xml:space="preserve">: Use NBCC values; for small cladding components, internal gust is often taken as </t>
    </r>
    <r>
      <rPr>
        <b/>
        <sz val="11"/>
        <color theme="1"/>
        <rFont val="Aptos Narrow"/>
        <family val="2"/>
        <scheme val="minor"/>
      </rPr>
      <t>2.0</t>
    </r>
    <r>
      <rPr>
        <sz val="11"/>
        <color theme="1"/>
        <rFont val="Aptos Narrow"/>
        <family val="2"/>
        <scheme val="minor"/>
      </rPr>
      <t xml:space="preserve"> unless a detailed calc is done.</t>
    </r>
  </si>
  <si>
    <t>(Those selections come from NBCC/BCBC wind provisions referenced by Appendix C; the CSSBI NBCC guide summarizes the same formula and factors. ) (cssbi.ca)</t>
  </si>
  <si>
    <t>What to paste into your program</t>
  </si>
  <si>
    <r>
      <t xml:space="preserve">Take </t>
    </r>
    <r>
      <rPr>
        <b/>
        <sz val="10"/>
        <color theme="1"/>
        <rFont val="Arial Unicode MS"/>
      </rPr>
      <t>roof_uplift_psf</t>
    </r>
    <r>
      <rPr>
        <b/>
        <sz val="11"/>
        <color theme="1"/>
        <rFont val="Aptos Narrow"/>
        <family val="2"/>
        <scheme val="minor"/>
      </rPr>
      <t xml:space="preserve"> (cell B16)</t>
    </r>
    <r>
      <rPr>
        <sz val="11"/>
        <color theme="1"/>
        <rFont val="Aptos Narrow"/>
        <family val="2"/>
        <scheme val="minor"/>
      </rPr>
      <t xml:space="preserve"> and paste it into your tool’s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input. That will produce </t>
    </r>
    <r>
      <rPr>
        <b/>
        <sz val="11"/>
        <color theme="1"/>
        <rFont val="Aptos Narrow"/>
        <family val="2"/>
        <scheme val="minor"/>
      </rPr>
      <t>uplift per post</t>
    </r>
    <r>
      <rPr>
        <sz val="11"/>
        <color theme="1"/>
        <rFont val="Aptos Narrow"/>
        <family val="2"/>
        <scheme val="minor"/>
      </rPr>
      <t xml:space="preserve"> using your tributary area per post.</t>
    </r>
  </si>
  <si>
    <r>
      <t xml:space="preserve">If you want, tell me the </t>
    </r>
    <r>
      <rPr>
        <b/>
        <sz val="11"/>
        <color theme="1"/>
        <rFont val="Aptos Narrow"/>
        <family val="2"/>
        <scheme val="minor"/>
      </rPr>
      <t>exact values</t>
    </r>
    <r>
      <rPr>
        <sz val="11"/>
        <color theme="1"/>
        <rFont val="Aptos Narrow"/>
        <family val="2"/>
        <scheme val="minor"/>
      </rPr>
      <t xml:space="preserve"> you read for: </t>
    </r>
    <r>
      <rPr>
        <sz val="10"/>
        <color theme="1"/>
        <rFont val="Arial Unicode MS"/>
      </rPr>
      <t>q_ref_kPa</t>
    </r>
    <r>
      <rPr>
        <sz val="11"/>
        <color theme="1"/>
        <rFont val="Aptos Narrow"/>
        <family val="2"/>
        <scheme val="minor"/>
      </rPr>
      <t xml:space="preserve">, roof </t>
    </r>
    <r>
      <rPr>
        <b/>
        <sz val="11"/>
        <color theme="1"/>
        <rFont val="Aptos Narrow"/>
        <family val="2"/>
        <scheme val="minor"/>
      </rPr>
      <t>zone &amp; slope</t>
    </r>
    <r>
      <rPr>
        <sz val="11"/>
        <color theme="1"/>
        <rFont val="Aptos Narrow"/>
        <family val="2"/>
        <scheme val="minor"/>
      </rPr>
      <t xml:space="preserve"> (for </t>
    </r>
    <r>
      <rPr>
        <sz val="10"/>
        <color theme="1"/>
        <rFont val="Arial Unicode MS"/>
      </rPr>
      <t>Cp_ext</t>
    </r>
    <r>
      <rPr>
        <sz val="11"/>
        <color theme="1"/>
        <rFont val="Aptos Narrow"/>
        <family val="2"/>
        <scheme val="minor"/>
      </rPr>
      <t xml:space="preserve">), and your </t>
    </r>
    <r>
      <rPr>
        <b/>
        <sz val="11"/>
        <color theme="1"/>
        <rFont val="Aptos Narrow"/>
        <family val="2"/>
        <scheme val="minor"/>
      </rPr>
      <t>enclosure</t>
    </r>
    <r>
      <rPr>
        <sz val="11"/>
        <color theme="1"/>
        <rFont val="Aptos Narrow"/>
        <family val="2"/>
        <scheme val="minor"/>
      </rPr>
      <t xml:space="preserve"> (for </t>
    </r>
    <r>
      <rPr>
        <sz val="10"/>
        <color theme="1"/>
        <rFont val="Arial Unicode MS"/>
      </rPr>
      <t>Cpi</t>
    </r>
    <r>
      <rPr>
        <sz val="11"/>
        <color theme="1"/>
        <rFont val="Aptos Narrow"/>
        <family val="2"/>
        <scheme val="minor"/>
      </rPr>
      <t xml:space="preserve">). I’ll plug them into this Excel layout and give you the </t>
    </r>
    <r>
      <rPr>
        <b/>
        <sz val="11"/>
        <color theme="1"/>
        <rFont val="Aptos Narrow"/>
        <family val="2"/>
        <scheme val="minor"/>
      </rPr>
      <t>final uplift psf</t>
    </r>
    <r>
      <rPr>
        <sz val="11"/>
        <color theme="1"/>
        <rFont val="Aptos Narrow"/>
        <family val="2"/>
        <scheme val="minor"/>
      </rPr>
      <t xml:space="preserve"> number to use.</t>
    </r>
  </si>
  <si>
    <t>Wind pressure (kPa)</t>
  </si>
  <si>
    <t>Importance factor (Iw)</t>
  </si>
  <si>
    <t>exposure factor at mean roof height (Ce)</t>
  </si>
  <si>
    <t>topographic factor(1.0 if none)</t>
  </si>
  <si>
    <t>external gust factor (Cg_ext)</t>
  </si>
  <si>
    <t>external roof pressure coeff (negative for uplift; pick zone &amp; slope) (Cp_ext)</t>
  </si>
  <si>
    <t>internal exposure factor (≈1.0 typical) (Cei)</t>
  </si>
  <si>
    <t>internal gust factor (NBCC often uses 2.0 unless you calculate)( Cgi)</t>
  </si>
  <si>
    <t>internal pressure coeff (enclosed ±0.15; partially enclosed larger magnitude) (Cpi)</t>
  </si>
  <si>
    <t>p_ext_kPa</t>
  </si>
  <si>
    <t>p_int_kPa</t>
  </si>
  <si>
    <t>p_net_kPa</t>
  </si>
  <si>
    <t>p_net_psf</t>
  </si>
  <si>
    <r>
      <t xml:space="preserve">Great one to nail down. </t>
    </r>
    <r>
      <rPr>
        <b/>
        <sz val="10"/>
        <color theme="1"/>
        <rFont val="Arial Unicode MS"/>
      </rPr>
      <t>uplift_area_per_post_ft2</t>
    </r>
    <r>
      <rPr>
        <sz val="11"/>
        <color theme="1"/>
        <rFont val="Aptos Narrow"/>
        <family val="2"/>
        <scheme val="minor"/>
      </rPr>
      <t xml:space="preserve"> is the </t>
    </r>
    <r>
      <rPr>
        <b/>
        <sz val="11"/>
        <color theme="1"/>
        <rFont val="Aptos Narrow"/>
        <family val="2"/>
        <scheme val="minor"/>
      </rPr>
      <t>roof surface area (in square feet) that “belongs” to one post for the purpose of wind uplift</t>
    </r>
    <r>
      <rPr>
        <sz val="11"/>
        <color theme="1"/>
        <rFont val="Aptos Narrow"/>
        <family val="2"/>
        <scheme val="minor"/>
      </rPr>
      <t xml:space="preserve">. Your program multiplies this area by your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to get the </t>
    </r>
    <r>
      <rPr>
        <b/>
        <sz val="11"/>
        <color theme="1"/>
        <rFont val="Aptos Narrow"/>
        <family val="2"/>
        <scheme val="minor"/>
      </rPr>
      <t>uplift force on that post</t>
    </r>
    <r>
      <rPr>
        <sz val="11"/>
        <color theme="1"/>
        <rFont val="Aptos Narrow"/>
        <family val="2"/>
        <scheme val="minor"/>
      </rPr>
      <t>:</t>
    </r>
  </si>
  <si>
    <t>U_{\text{post}} ;=; \texttt{roof_uplift_psf} ;\times; \texttt{uplift_area_per_post_ft2}</t>
  </si>
  <si>
    <t>How to get that area (simple, reliable method)</t>
  </si>
  <si>
    <r>
      <t xml:space="preserve">Think in </t>
    </r>
    <r>
      <rPr>
        <b/>
        <sz val="11"/>
        <color theme="1"/>
        <rFont val="Aptos Narrow"/>
        <family val="2"/>
        <scheme val="minor"/>
      </rPr>
      <t>tributary strips</t>
    </r>
    <r>
      <rPr>
        <sz val="11"/>
        <color theme="1"/>
        <rFont val="Aptos Narrow"/>
        <family val="2"/>
        <scheme val="minor"/>
      </rPr>
      <t xml:space="preserve"> that flow: roof → beam → posts.</t>
    </r>
  </si>
  <si>
    <r>
      <t>1. Find the beam’s tributary width for uplift</t>
    </r>
    <r>
      <rPr>
        <sz val="11"/>
        <color theme="1"/>
        <rFont val="Aptos Narrow"/>
        <family val="2"/>
        <scheme val="minor"/>
      </rPr>
      <t xml:space="preserve"> (ft)</t>
    </r>
  </si>
  <si>
    <r>
      <t xml:space="preserve">Same logic as gravity, but include any </t>
    </r>
    <r>
      <rPr>
        <b/>
        <sz val="11"/>
        <color theme="1"/>
        <rFont val="Aptos Narrow"/>
        <family val="2"/>
        <scheme val="minor"/>
      </rPr>
      <t>cantilever/overhang</t>
    </r>
    <r>
      <rPr>
        <sz val="11"/>
        <color theme="1"/>
        <rFont val="Aptos Narrow"/>
        <family val="2"/>
        <scheme val="minor"/>
      </rPr>
      <t xml:space="preserve"> past the beam (that area “belongs” fully to that beam).</t>
    </r>
  </si>
  <si>
    <t>Example from your case (15 ft joists, middle beam at mid-span, 1 ft front overhang):</t>
  </si>
  <si>
    <t>Middle beam width: (7.5/2 + 7.5/2 = \mathbf{7.5\ ft})</t>
  </si>
  <si>
    <t>Outer beam width: (7.5/2 + 1.0 = \mathbf{4.75\ ft})</t>
  </si>
  <si>
    <r>
      <t>2. Compute the beam’s tributary area</t>
    </r>
    <r>
      <rPr>
        <sz val="11"/>
        <color theme="1"/>
        <rFont val="Aptos Narrow"/>
        <family val="2"/>
        <scheme val="minor"/>
      </rPr>
      <t xml:space="preserve"> (ft²)</t>
    </r>
  </si>
  <si>
    <t>A_{\text{beam}} ;=; \text{beam span (ft)} ;\times; \text{tributary width (ft)}</t>
  </si>
  <si>
    <t>If the outer beam spans 18 ft between two posts:</t>
  </si>
  <si>
    <t>Middle beam area = (18 \times 7.5 = \mathbf{135\ ft^2})</t>
  </si>
  <si>
    <t>Outer beam area = (18 \times 4.75 = \mathbf{85.5\ ft^2})</t>
  </si>
  <si>
    <t>3. Split that area to each post</t>
  </si>
  <si>
    <r>
      <t>Two-post beam (simple span)</t>
    </r>
    <r>
      <rPr>
        <sz val="11"/>
        <color theme="1"/>
        <rFont val="Aptos Narrow"/>
        <family val="2"/>
        <scheme val="minor"/>
      </rPr>
      <t xml:space="preserve"> → each post takes </t>
    </r>
    <r>
      <rPr>
        <b/>
        <sz val="11"/>
        <color theme="1"/>
        <rFont val="Aptos Narrow"/>
        <family val="2"/>
        <scheme val="minor"/>
      </rPr>
      <t>half</t>
    </r>
    <r>
      <rPr>
        <sz val="11"/>
        <color theme="1"/>
        <rFont val="Aptos Narrow"/>
        <family val="2"/>
        <scheme val="minor"/>
      </rPr>
      <t xml:space="preserve"> the beam’s area:</t>
    </r>
  </si>
  <si>
    <t>\texttt{uplift_area_per_post_ft2} ;=; \frac{A_{\text{beam}}}{2}</t>
  </si>
  <si>
    <t>Middle-beam post: (135/2 = \mathbf{67.5\ ft^2})</t>
  </si>
  <si>
    <t>Outer-beam post: (85.5/2 = \mathbf{42.75\ ft^2})</t>
  </si>
  <si>
    <r>
      <t xml:space="preserve">If a beam has </t>
    </r>
    <r>
      <rPr>
        <b/>
        <sz val="11"/>
        <color theme="1"/>
        <rFont val="Aptos Narrow"/>
        <family val="2"/>
        <scheme val="minor"/>
      </rPr>
      <t>3 posts</t>
    </r>
    <r>
      <rPr>
        <sz val="11"/>
        <color theme="1"/>
        <rFont val="Aptos Narrow"/>
        <family val="2"/>
        <scheme val="minor"/>
      </rPr>
      <t xml:space="preserve"> (two spans), split the </t>
    </r>
    <r>
      <rPr>
        <b/>
        <sz val="11"/>
        <color theme="1"/>
        <rFont val="Aptos Narrow"/>
        <family val="2"/>
        <scheme val="minor"/>
      </rPr>
      <t>area for each span</t>
    </r>
    <r>
      <rPr>
        <sz val="11"/>
        <color theme="1"/>
        <rFont val="Aptos Narrow"/>
        <family val="2"/>
        <scheme val="minor"/>
      </rPr>
      <t xml:space="preserve"> between the two posts that support that span. End posts don’t always equal interior posts.</t>
    </r>
  </si>
  <si>
    <t>Corner/edge conservatism (optional)</t>
  </si>
  <si>
    <r>
      <t xml:space="preserve">Wind uplift is strongest at </t>
    </r>
    <r>
      <rPr>
        <b/>
        <sz val="11"/>
        <color theme="1"/>
        <rFont val="Aptos Narrow"/>
        <family val="2"/>
        <scheme val="minor"/>
      </rPr>
      <t>corners/edges</t>
    </r>
    <r>
      <rPr>
        <sz val="11"/>
        <color theme="1"/>
        <rFont val="Aptos Narrow"/>
        <family val="2"/>
        <scheme val="minor"/>
      </rPr>
      <t>. Two ways to handle that:</t>
    </r>
  </si>
  <si>
    <r>
      <t>Easy approach (preferred for a screening tool):</t>
    </r>
    <r>
      <rPr>
        <sz val="11"/>
        <color theme="1"/>
        <rFont val="Aptos Narrow"/>
        <family val="2"/>
        <scheme val="minor"/>
      </rPr>
      <t xml:space="preserve"> keep the </t>
    </r>
    <r>
      <rPr>
        <b/>
        <sz val="11"/>
        <color theme="1"/>
        <rFont val="Aptos Narrow"/>
        <family val="2"/>
        <scheme val="minor"/>
      </rPr>
      <t>area</t>
    </r>
    <r>
      <rPr>
        <sz val="11"/>
        <color theme="1"/>
        <rFont val="Aptos Narrow"/>
        <family val="2"/>
        <scheme val="minor"/>
      </rPr>
      <t xml:space="preserve"> method above, but make sure your </t>
    </r>
    <r>
      <rPr>
        <b/>
        <sz val="10"/>
        <color theme="1"/>
        <rFont val="Arial Unicode MS"/>
      </rPr>
      <t>roof_uplift_psf</t>
    </r>
    <r>
      <rPr>
        <sz val="11"/>
        <color theme="1"/>
        <rFont val="Aptos Narrow"/>
        <family val="2"/>
        <scheme val="minor"/>
      </rPr>
      <t xml:space="preserve"> already reflects the </t>
    </r>
    <r>
      <rPr>
        <b/>
        <sz val="11"/>
        <color theme="1"/>
        <rFont val="Aptos Narrow"/>
        <family val="2"/>
        <scheme val="minor"/>
      </rPr>
      <t>zone</t>
    </r>
    <r>
      <rPr>
        <sz val="11"/>
        <color theme="1"/>
        <rFont val="Aptos Narrow"/>
        <family val="2"/>
        <scheme val="minor"/>
      </rPr>
      <t xml:space="preserve"> you’re checking (corner, edge, field).</t>
    </r>
  </si>
  <si>
    <r>
      <t>Alternative:</t>
    </r>
    <r>
      <rPr>
        <sz val="11"/>
        <color theme="1"/>
        <rFont val="Aptos Narrow"/>
        <family val="2"/>
        <scheme val="minor"/>
      </rPr>
      <t xml:space="preserve"> slightly </t>
    </r>
    <r>
      <rPr>
        <b/>
        <sz val="11"/>
        <color theme="1"/>
        <rFont val="Aptos Narrow"/>
        <family val="2"/>
        <scheme val="minor"/>
      </rPr>
      <t>shrink area</t>
    </r>
    <r>
      <rPr>
        <sz val="11"/>
        <color theme="1"/>
        <rFont val="Aptos Narrow"/>
        <family val="2"/>
        <scheme val="minor"/>
      </rPr>
      <t xml:space="preserve"> for interior posts and </t>
    </r>
    <r>
      <rPr>
        <b/>
        <sz val="11"/>
        <color theme="1"/>
        <rFont val="Aptos Narrow"/>
        <family val="2"/>
        <scheme val="minor"/>
      </rPr>
      <t>increase psf</t>
    </r>
    <r>
      <rPr>
        <sz val="11"/>
        <color theme="1"/>
        <rFont val="Aptos Narrow"/>
        <family val="2"/>
        <scheme val="minor"/>
      </rPr>
      <t xml:space="preserve"> for posts under corner zones—result is similar if your psf already uses the right (C_p) zone.</t>
    </r>
  </si>
  <si>
    <t>Quick plug-and-play for your inputs</t>
  </si>
  <si>
    <t>Middle beam posts (your geometry):</t>
  </si>
  <si>
    <t>uplift_area_per_post_ft2 = 67.5</t>
  </si>
  <si>
    <t>Outer beam posts (your geometry):</t>
  </si>
  <si>
    <t>uplift_area_per_post_ft2 = 42.75</t>
  </si>
  <si>
    <t>Then the program will compute:</t>
  </si>
  <si>
    <t>U_{\text{post}} = \texttt{roof_uplift_psf} \times 67.5 \quad\text{(middle)},\quad</t>
  </si>
  <si>
    <t>U_{\text{post}} = \texttt{roof_uplift_psf} \times 42.75 \quad\text{(outer)}</t>
  </si>
  <si>
    <t>Edge cases to watch</t>
  </si>
  <si>
    <r>
      <t>Cantilevers along the beam</t>
    </r>
    <r>
      <rPr>
        <sz val="11"/>
        <color theme="1"/>
        <rFont val="Aptos Narrow"/>
        <family val="2"/>
        <scheme val="minor"/>
      </rPr>
      <t xml:space="preserve"> (post set in from the roof edge): the end post may carry </t>
    </r>
    <r>
      <rPr>
        <b/>
        <sz val="11"/>
        <color theme="1"/>
        <rFont val="Aptos Narrow"/>
        <family val="2"/>
        <scheme val="minor"/>
      </rPr>
      <t>more</t>
    </r>
    <r>
      <rPr>
        <sz val="11"/>
        <color theme="1"/>
        <rFont val="Aptos Narrow"/>
        <family val="2"/>
        <scheme val="minor"/>
      </rPr>
      <t xml:space="preserve"> than half; the center post </t>
    </r>
    <r>
      <rPr>
        <b/>
        <sz val="11"/>
        <color theme="1"/>
        <rFont val="Aptos Narrow"/>
        <family val="2"/>
        <scheme val="minor"/>
      </rPr>
      <t>less</t>
    </r>
    <r>
      <rPr>
        <sz val="11"/>
        <color theme="1"/>
        <rFont val="Aptos Narrow"/>
        <family val="2"/>
        <scheme val="minor"/>
      </rPr>
      <t>. If you have notable cantilevers along the beam, tell me the overhangs and I’ll split the areas precisely per post.</t>
    </r>
  </si>
  <si>
    <r>
      <t>Open vs enclosed structure</t>
    </r>
    <r>
      <rPr>
        <sz val="11"/>
        <color theme="1"/>
        <rFont val="Aptos Narrow"/>
        <family val="2"/>
        <scheme val="minor"/>
      </rPr>
      <t xml:space="preserve"> affects the </t>
    </r>
    <r>
      <rPr>
        <b/>
        <sz val="11"/>
        <color theme="1"/>
        <rFont val="Aptos Narrow"/>
        <family val="2"/>
        <scheme val="minor"/>
      </rPr>
      <t>psf</t>
    </r>
    <r>
      <rPr>
        <sz val="11"/>
        <color theme="1"/>
        <rFont val="Aptos Narrow"/>
        <family val="2"/>
        <scheme val="minor"/>
      </rPr>
      <t xml:space="preserve">, not the area—keep the area logic, adjust the </t>
    </r>
    <r>
      <rPr>
        <b/>
        <sz val="11"/>
        <color theme="1"/>
        <rFont val="Aptos Narrow"/>
        <family val="2"/>
        <scheme val="minor"/>
      </rPr>
      <t>uplift psf</t>
    </r>
    <r>
      <rPr>
        <sz val="11"/>
        <color theme="1"/>
        <rFont val="Aptos Narrow"/>
        <family val="2"/>
        <scheme val="minor"/>
      </rPr>
      <t xml:space="preserve"> via wind coefficients.</t>
    </r>
  </si>
  <si>
    <r>
      <t xml:space="preserve">If you want, I can add a tiny helper block in your Excel that </t>
    </r>
    <r>
      <rPr>
        <b/>
        <sz val="11"/>
        <color theme="1"/>
        <rFont val="Aptos Narrow"/>
        <family val="2"/>
        <scheme val="minor"/>
      </rPr>
      <t xml:space="preserve">auto-calculates </t>
    </r>
    <r>
      <rPr>
        <b/>
        <sz val="10"/>
        <color theme="1"/>
        <rFont val="Arial Unicode MS"/>
      </rPr>
      <t>uplift_area_per_post_ft2</t>
    </r>
    <r>
      <rPr>
        <sz val="11"/>
        <color theme="1"/>
        <rFont val="Aptos Narrow"/>
        <family val="2"/>
        <scheme val="minor"/>
      </rPr>
      <t xml:space="preserve"> from: joist bay(s), overhang, beam span, and number of posts.</t>
    </r>
  </si>
  <si>
    <t>Explain uplift_area_per_post_ft2</t>
  </si>
  <si>
    <t>Tributary width FT</t>
  </si>
  <si>
    <t>Beam's tributary area</t>
  </si>
  <si>
    <t>Number of post</t>
  </si>
  <si>
    <t>Awesome—this one is key.</t>
  </si>
  <si>
    <r>
      <t xml:space="preserve">What </t>
    </r>
    <r>
      <rPr>
        <b/>
        <sz val="10"/>
        <color theme="1"/>
        <rFont val="Arial Unicode MS"/>
      </rPr>
      <t>lateral_line_load_plf</t>
    </r>
    <r>
      <rPr>
        <b/>
        <sz val="24"/>
        <color theme="1"/>
        <rFont val="Aptos Narrow"/>
        <family val="2"/>
        <scheme val="minor"/>
      </rPr>
      <t xml:space="preserve"> means</t>
    </r>
  </si>
  <si>
    <r>
      <t xml:space="preserve">It’s the </t>
    </r>
    <r>
      <rPr>
        <b/>
        <sz val="11"/>
        <color theme="1"/>
        <rFont val="Aptos Narrow"/>
        <family val="2"/>
        <scheme val="minor"/>
      </rPr>
      <t>horizontal wind load per foot of beam</t>
    </r>
    <r>
      <rPr>
        <sz val="11"/>
        <color theme="1"/>
        <rFont val="Aptos Narrow"/>
        <family val="2"/>
        <scheme val="minor"/>
      </rPr>
      <t xml:space="preserve"> (plf) that your frame must resist </t>
    </r>
    <r>
      <rPr>
        <b/>
        <sz val="11"/>
        <color theme="1"/>
        <rFont val="Aptos Narrow"/>
        <family val="2"/>
        <scheme val="minor"/>
      </rPr>
      <t>in-plane</t>
    </r>
    <r>
      <rPr>
        <sz val="11"/>
        <color theme="1"/>
        <rFont val="Aptos Narrow"/>
        <family val="2"/>
        <scheme val="minor"/>
      </rPr>
      <t>. Think of wind pushing on the vertical “sail” that’s attached to the beam (e.g., fascia/soffit skirt, edge flashing, or any solid infill on that line).</t>
    </r>
  </si>
  <si>
    <t>We model it as:</t>
  </si>
  <si>
    <t>\textbf{lateral_line_load_plf} ;=; p_{\text{wall, psf}} \times \textbf{exposed_height_ft}</t>
  </si>
  <si>
    <t>where (p_{\text{wall, psf}}) is the wind pressure on that vertical surface, and (\textbf{exposed_height_ft}) is how tall that “sail” is (in feet).</t>
  </si>
  <si>
    <t>How to get the number (your situation)</t>
  </si>
  <si>
    <r>
      <t xml:space="preserve">You’re in </t>
    </r>
    <r>
      <rPr>
        <b/>
        <sz val="11"/>
        <color theme="1"/>
        <rFont val="Aptos Narrow"/>
        <family val="2"/>
        <scheme val="minor"/>
      </rPr>
      <t>Mission City</t>
    </r>
    <r>
      <rPr>
        <sz val="11"/>
        <color theme="1"/>
        <rFont val="Aptos Narrow"/>
        <family val="2"/>
        <scheme val="minor"/>
      </rPr>
      <t xml:space="preserve"> (so (q_{\text{ref}} = 0.43) kPa). Use a simple NBCC-style wall pressure for a low-rise component:</t>
    </r>
  </si>
  <si>
    <t>p_{\text{wall, psf}} ;=; q_{\text{ref}}(\text{kPa}) \times 20.885 \times C_e \times C_t \times C_{g,\text{ext}} \times C_{p,\text{wall}}</t>
  </si>
  <si>
    <t>For a practical screening (typical suburban exposure, no topographic speed-up):</t>
  </si>
  <si>
    <t>(C_e = 1.0)</t>
  </si>
  <si>
    <t>(C_t = 1.0)</t>
  </si>
  <si>
    <t>(C_{g,\text{ext}} = 2.0) (main frame)</t>
  </si>
  <si>
    <t>(C_{p,\text{wall}} = +0.8) (windward wall coefficient, a reasonable stand-in for a vertical fascia strip)</t>
  </si>
  <si>
    <t>Compute (p_{\text{wall, psf}}):</t>
  </si>
  <si>
    <t>1. Convert (q_{\text{ref}}): (0.43 \times 20.885 = 8.98055) psf</t>
  </si>
  <si>
    <t>2. Multiply factors: (8.98055 \times 1.0 \times 1.0 \times 2.0 \times 0.8 = \mathbf{14.37\ psf}) (rounded)</t>
  </si>
  <si>
    <r>
      <t xml:space="preserve">Now pick your </t>
    </r>
    <r>
      <rPr>
        <b/>
        <sz val="11"/>
        <color theme="1"/>
        <rFont val="Aptos Narrow"/>
        <family val="2"/>
        <scheme val="minor"/>
      </rPr>
      <t>exposed height</t>
    </r>
    <r>
      <rPr>
        <sz val="11"/>
        <color theme="1"/>
        <rFont val="Aptos Narrow"/>
        <family val="2"/>
        <scheme val="minor"/>
      </rPr>
      <t>:</t>
    </r>
  </si>
  <si>
    <r>
      <t xml:space="preserve">If your </t>
    </r>
    <r>
      <rPr>
        <b/>
        <sz val="11"/>
        <color theme="1"/>
        <rFont val="Aptos Narrow"/>
        <family val="2"/>
        <scheme val="minor"/>
      </rPr>
      <t>fascia/soffit skirt is ~12 in (1.0 ft)</t>
    </r>
    <r>
      <rPr>
        <sz val="11"/>
        <color theme="1"/>
        <rFont val="Aptos Narrow"/>
        <family val="2"/>
        <scheme val="minor"/>
      </rPr>
      <t xml:space="preserve"> →</t>
    </r>
  </si>
  <si>
    <t>lateral_line_load_plf ≈ 14.37 psf × 1.0 ft = **14.4 plf**</t>
  </si>
  <si>
    <r>
      <t xml:space="preserve">If it’s only </t>
    </r>
    <r>
      <rPr>
        <b/>
        <sz val="11"/>
        <color theme="1"/>
        <rFont val="Aptos Narrow"/>
        <family val="2"/>
        <scheme val="minor"/>
      </rPr>
      <t>9 in (0.75 ft)</t>
    </r>
    <r>
      <rPr>
        <sz val="11"/>
        <color theme="1"/>
        <rFont val="Aptos Narrow"/>
        <family val="2"/>
        <scheme val="minor"/>
      </rPr>
      <t xml:space="preserve"> →</t>
    </r>
  </si>
  <si>
    <t>≈ 14.37 × 0.75 = **10.8 plf**</t>
  </si>
  <si>
    <r>
      <t xml:space="preserve">Use that value in the </t>
    </r>
    <r>
      <rPr>
        <b/>
        <sz val="11"/>
        <color theme="1"/>
        <rFont val="Aptos Narrow"/>
        <family val="2"/>
        <scheme val="minor"/>
      </rPr>
      <t>Inputs</t>
    </r>
    <r>
      <rPr>
        <sz val="11"/>
        <color theme="1"/>
        <rFont val="Aptos Narrow"/>
        <family val="2"/>
        <scheme val="minor"/>
      </rPr>
      <t>:</t>
    </r>
  </si>
  <si>
    <r>
      <t xml:space="preserve">For the </t>
    </r>
    <r>
      <rPr>
        <b/>
        <sz val="11"/>
        <color theme="1"/>
        <rFont val="Aptos Narrow"/>
        <family val="2"/>
        <scheme val="minor"/>
      </rPr>
      <t>outer beam</t>
    </r>
    <r>
      <rPr>
        <sz val="11"/>
        <color theme="1"/>
        <rFont val="Aptos Narrow"/>
        <family val="2"/>
        <scheme val="minor"/>
      </rPr>
      <t xml:space="preserve"> line: </t>
    </r>
    <r>
      <rPr>
        <sz val="10"/>
        <color theme="1"/>
        <rFont val="Arial Unicode MS"/>
      </rPr>
      <t>lateral_line_load_plf ≈ 14.4</t>
    </r>
    <r>
      <rPr>
        <sz val="11"/>
        <color theme="1"/>
        <rFont val="Aptos Narrow"/>
        <family val="2"/>
        <scheme val="minor"/>
      </rPr>
      <t xml:space="preserve"> (if 1 ft fascia)</t>
    </r>
  </si>
  <si>
    <r>
      <t xml:space="preserve">For the </t>
    </r>
    <r>
      <rPr>
        <b/>
        <sz val="11"/>
        <color theme="1"/>
        <rFont val="Aptos Narrow"/>
        <family val="2"/>
        <scheme val="minor"/>
      </rPr>
      <t>middle beam</t>
    </r>
    <r>
      <rPr>
        <sz val="11"/>
        <color theme="1"/>
        <rFont val="Aptos Narrow"/>
        <family val="2"/>
        <scheme val="minor"/>
      </rPr>
      <t xml:space="preserve">, if there’s </t>
    </r>
    <r>
      <rPr>
        <b/>
        <sz val="11"/>
        <color theme="1"/>
        <rFont val="Aptos Narrow"/>
        <family val="2"/>
        <scheme val="minor"/>
      </rPr>
      <t>no solid vertical infill</t>
    </r>
    <r>
      <rPr>
        <sz val="11"/>
        <color theme="1"/>
        <rFont val="Aptos Narrow"/>
        <family val="2"/>
        <scheme val="minor"/>
      </rPr>
      <t xml:space="preserve"> on that line (just open air under the roof), </t>
    </r>
    <r>
      <rPr>
        <b/>
        <sz val="11"/>
        <color theme="1"/>
        <rFont val="Aptos Narrow"/>
        <family val="2"/>
        <scheme val="minor"/>
      </rPr>
      <t>set it to 0</t>
    </r>
    <r>
      <rPr>
        <sz val="11"/>
        <color theme="1"/>
        <rFont val="Aptos Narrow"/>
        <family val="2"/>
        <scheme val="minor"/>
      </rPr>
      <t xml:space="preserve"> (or a small nominal like 5 plf if you want a conservative placeholder).</t>
    </r>
  </si>
  <si>
    <t>What the program will do with it</t>
  </si>
  <si>
    <r>
      <t xml:space="preserve">It treats </t>
    </r>
    <r>
      <rPr>
        <sz val="10"/>
        <color theme="1"/>
        <rFont val="Arial Unicode MS"/>
      </rPr>
      <t>lateral_line_load_plf</t>
    </r>
    <r>
      <rPr>
        <sz val="11"/>
        <color theme="1"/>
        <rFont val="Aptos Narrow"/>
        <family val="2"/>
        <scheme val="minor"/>
      </rPr>
      <t xml:space="preserve"> as a uniform horizontal load along the beam. The lateral </t>
    </r>
    <r>
      <rPr>
        <b/>
        <sz val="11"/>
        <color theme="1"/>
        <rFont val="Aptos Narrow"/>
        <family val="2"/>
        <scheme val="minor"/>
      </rPr>
      <t>reaction at each post</t>
    </r>
    <r>
      <rPr>
        <sz val="11"/>
        <color theme="1"/>
        <rFont val="Aptos Narrow"/>
        <family val="2"/>
        <scheme val="minor"/>
      </rPr>
      <t xml:space="preserve"> is then about:</t>
    </r>
  </si>
  <si>
    <t>R_{\text{lat, post}} \approx \frac{w_{\text{lat}} \times L}{2}</t>
  </si>
  <si>
    <r>
      <t xml:space="preserve">With </t>
    </r>
    <r>
      <rPr>
        <b/>
        <sz val="11"/>
        <color theme="1"/>
        <rFont val="Aptos Narrow"/>
        <family val="2"/>
        <scheme val="minor"/>
      </rPr>
      <t>14.4 plf</t>
    </r>
    <r>
      <rPr>
        <sz val="11"/>
        <color theme="1"/>
        <rFont val="Aptos Narrow"/>
        <family val="2"/>
        <scheme val="minor"/>
      </rPr>
      <t xml:space="preserve"> and </t>
    </r>
    <r>
      <rPr>
        <b/>
        <sz val="11"/>
        <color theme="1"/>
        <rFont val="Aptos Narrow"/>
        <family val="2"/>
        <scheme val="minor"/>
      </rPr>
      <t>18 ft</t>
    </r>
    <r>
      <rPr>
        <sz val="11"/>
        <color theme="1"/>
        <rFont val="Aptos Narrow"/>
        <family val="2"/>
        <scheme val="minor"/>
      </rPr>
      <t xml:space="preserve"> span → total = 259 lb → each post ≈ </t>
    </r>
    <r>
      <rPr>
        <b/>
        <sz val="11"/>
        <color theme="1"/>
        <rFont val="Aptos Narrow"/>
        <family val="2"/>
        <scheme val="minor"/>
      </rPr>
      <t>130 lb lateral</t>
    </r>
    <r>
      <rPr>
        <sz val="11"/>
        <color theme="1"/>
        <rFont val="Aptos Narrow"/>
        <family val="2"/>
        <scheme val="minor"/>
      </rPr>
      <t>.</t>
    </r>
  </si>
  <si>
    <r>
      <t xml:space="preserve">This is what your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(e.g., 1616HTPC/APT6) and </t>
    </r>
    <r>
      <rPr>
        <b/>
        <sz val="11"/>
        <color theme="1"/>
        <rFont val="Aptos Narrow"/>
        <family val="2"/>
        <scheme val="minor"/>
      </rPr>
      <t>base</t>
    </r>
    <r>
      <rPr>
        <sz val="11"/>
        <color theme="1"/>
        <rFont val="Aptos Narrow"/>
        <family val="2"/>
        <scheme val="minor"/>
      </rPr>
      <t xml:space="preserve"> (e.g., APB66 shear/kick-out) must resist (along with uplift/download checks).</t>
    </r>
  </si>
  <si>
    <t>Quick checklist for you</t>
  </si>
  <si>
    <r>
      <t xml:space="preserve">Measure/confirm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 xml:space="preserve"> (fascia/edge skirt height).</t>
    </r>
  </si>
  <si>
    <r>
      <t xml:space="preserve">Enter </t>
    </r>
    <r>
      <rPr>
        <b/>
        <sz val="10"/>
        <color theme="1"/>
        <rFont val="Arial Unicode MS"/>
      </rPr>
      <t>lateral_line_load_plf = 14.4 × exposed_height_ft (in ft)</t>
    </r>
    <r>
      <rPr>
        <sz val="11"/>
        <color theme="1"/>
        <rFont val="Aptos Narrow"/>
        <family val="2"/>
        <scheme val="minor"/>
      </rPr>
      <t xml:space="preserve"> using 14.4 if you accept the practical factors above.</t>
    </r>
  </si>
  <si>
    <r>
      <t xml:space="preserve">If you have </t>
    </r>
    <r>
      <rPr>
        <b/>
        <sz val="11"/>
        <color theme="1"/>
        <rFont val="Aptos Narrow"/>
        <family val="2"/>
        <scheme val="minor"/>
      </rPr>
      <t>privacy panels</t>
    </r>
    <r>
      <rPr>
        <sz val="11"/>
        <color theme="1"/>
        <rFont val="Aptos Narrow"/>
        <family val="2"/>
        <scheme val="minor"/>
      </rPr>
      <t xml:space="preserve"> or other solid infill </t>
    </r>
    <r>
      <rPr>
        <b/>
        <sz val="11"/>
        <color theme="1"/>
        <rFont val="Aptos Narrow"/>
        <family val="2"/>
        <scheme val="minor"/>
      </rPr>
      <t>on that same beam line</t>
    </r>
    <r>
      <rPr>
        <sz val="11"/>
        <color theme="1"/>
        <rFont val="Aptos Narrow"/>
        <family val="2"/>
        <scheme val="minor"/>
      </rPr>
      <t xml:space="preserve">, use their </t>
    </r>
    <r>
      <rPr>
        <b/>
        <sz val="11"/>
        <color theme="1"/>
        <rFont val="Aptos Narrow"/>
        <family val="2"/>
        <scheme val="minor"/>
      </rPr>
      <t>full height</t>
    </r>
    <r>
      <rPr>
        <sz val="11"/>
        <color theme="1"/>
        <rFont val="Aptos Narrow"/>
        <family val="2"/>
        <scheme val="minor"/>
      </rPr>
      <t xml:space="preserve"> instead of the fascia height (that will increase the lateral load).</t>
    </r>
  </si>
  <si>
    <r>
      <t xml:space="preserve">If you want, tell me your </t>
    </r>
    <r>
      <rPr>
        <b/>
        <sz val="11"/>
        <color theme="1"/>
        <rFont val="Aptos Narrow"/>
        <family val="2"/>
        <scheme val="minor"/>
      </rPr>
      <t>actual fascia height</t>
    </r>
    <r>
      <rPr>
        <sz val="11"/>
        <color theme="1"/>
        <rFont val="Aptos Narrow"/>
        <family val="2"/>
        <scheme val="minor"/>
      </rPr>
      <t xml:space="preserve"> (inches) and whether the </t>
    </r>
    <r>
      <rPr>
        <b/>
        <sz val="11"/>
        <color theme="1"/>
        <rFont val="Aptos Narrow"/>
        <family val="2"/>
        <scheme val="minor"/>
      </rPr>
      <t>middle beam line</t>
    </r>
    <r>
      <rPr>
        <sz val="11"/>
        <color theme="1"/>
        <rFont val="Aptos Narrow"/>
        <family val="2"/>
        <scheme val="minor"/>
      </rPr>
      <t xml:space="preserve"> has any solid infill; I’ll give you the exact plf to paste into the sheet for each beam.</t>
    </r>
  </si>
  <si>
    <t>Explain lateral_line_load_plf</t>
  </si>
  <si>
    <t>Explain wind_wall_psf</t>
  </si>
  <si>
    <t>Explain post_to_beam_arm_in</t>
  </si>
  <si>
    <t>Ce</t>
  </si>
  <si>
    <t>Ct</t>
  </si>
  <si>
    <t>Cp, wall</t>
  </si>
  <si>
    <t>Convert qref</t>
  </si>
  <si>
    <t>Multiply factors</t>
  </si>
  <si>
    <r>
      <t>Great—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 xml:space="preserve"> is simply the </t>
    </r>
    <r>
      <rPr>
        <b/>
        <sz val="11"/>
        <color theme="1"/>
        <rFont val="Aptos Narrow"/>
        <family val="2"/>
        <scheme val="minor"/>
      </rPr>
      <t>design wind pressure on a vertical surface</t>
    </r>
    <r>
      <rPr>
        <sz val="11"/>
        <color theme="1"/>
        <rFont val="Aptos Narrow"/>
        <family val="2"/>
        <scheme val="minor"/>
      </rPr>
      <t xml:space="preserve"> (psf). In our tool it’s used to turn wind pressure into a </t>
    </r>
    <r>
      <rPr>
        <b/>
        <sz val="11"/>
        <color theme="1"/>
        <rFont val="Aptos Narrow"/>
        <family val="2"/>
        <scheme val="minor"/>
      </rPr>
      <t>horizontal line load</t>
    </r>
    <r>
      <rPr>
        <sz val="11"/>
        <color theme="1"/>
        <rFont val="Aptos Narrow"/>
        <family val="2"/>
        <scheme val="minor"/>
      </rPr>
      <t>:</t>
    </r>
  </si>
  <si>
    <t>\text{lateral_line_load_plf} ;=; \textbf{wind_wall_psf} \times \textbf{exposed_height_ft}</t>
  </si>
  <si>
    <r>
      <t xml:space="preserve">So you set 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 xml:space="preserve"> to the </t>
    </r>
    <r>
      <rPr>
        <b/>
        <sz val="11"/>
        <color theme="1"/>
        <rFont val="Aptos Narrow"/>
        <family val="2"/>
        <scheme val="minor"/>
      </rPr>
      <t>pressure on the fascia/skirt (or any vertical infill)</t>
    </r>
    <r>
      <rPr>
        <sz val="11"/>
        <color theme="1"/>
        <rFont val="Aptos Narrow"/>
        <family val="2"/>
        <scheme val="minor"/>
      </rPr>
      <t xml:space="preserve">, and set </t>
    </r>
    <r>
      <rPr>
        <sz val="10"/>
        <color theme="1"/>
        <rFont val="Arial Unicode MS"/>
      </rPr>
      <t>exposed_height_ft</t>
    </r>
    <r>
      <rPr>
        <sz val="11"/>
        <color theme="1"/>
        <rFont val="Aptos Narrow"/>
        <family val="2"/>
        <scheme val="minor"/>
      </rPr>
      <t xml:space="preserve"> to its height in feet.</t>
    </r>
  </si>
  <si>
    <r>
      <t xml:space="preserve">How to calculate </t>
    </r>
    <r>
      <rPr>
        <b/>
        <sz val="10"/>
        <color theme="1"/>
        <rFont val="Arial Unicode MS"/>
      </rPr>
      <t>wind_wall_psf</t>
    </r>
    <r>
      <rPr>
        <b/>
        <sz val="24"/>
        <color theme="1"/>
        <rFont val="Aptos Narrow"/>
        <family val="2"/>
        <scheme val="minor"/>
      </rPr>
      <t xml:space="preserve"> (practical NBCC/BCBC-style)</t>
    </r>
  </si>
  <si>
    <r>
      <t xml:space="preserve">Use the usual cladding pressure recipe for a </t>
    </r>
    <r>
      <rPr>
        <b/>
        <sz val="11"/>
        <color theme="1"/>
        <rFont val="Aptos Narrow"/>
        <family val="2"/>
        <scheme val="minor"/>
      </rPr>
      <t>windward vertical surface</t>
    </r>
    <r>
      <rPr>
        <sz val="11"/>
        <color theme="1"/>
        <rFont val="Aptos Narrow"/>
        <family val="2"/>
        <scheme val="minor"/>
      </rPr>
      <t>:</t>
    </r>
  </si>
  <si>
    <t>\boxed{\textbf{wind_wall_psf} = q_\text{ref}(\text{kPa}) \times 20.885 \times C_e \times C_t \times C_{g,\text{ext}} \times C_{p,\text{wall}}}</t>
  </si>
  <si>
    <r>
      <t xml:space="preserve">(q_\text{ref}): reference velocity pressure for your location (Mission City: </t>
    </r>
    <r>
      <rPr>
        <b/>
        <sz val="11"/>
        <color theme="1"/>
        <rFont val="Aptos Narrow"/>
        <family val="2"/>
        <scheme val="minor"/>
      </rPr>
      <t>0.43 kPa</t>
    </r>
    <r>
      <rPr>
        <sz val="11"/>
        <color theme="1"/>
        <rFont val="Aptos Narrow"/>
        <family val="2"/>
        <scheme val="minor"/>
      </rPr>
      <t>)</t>
    </r>
  </si>
  <si>
    <r>
      <t xml:space="preserve">(C_e): exposure factor (≈ </t>
    </r>
    <r>
      <rPr>
        <b/>
        <sz val="11"/>
        <color theme="1"/>
        <rFont val="Aptos Narrow"/>
        <family val="2"/>
        <scheme val="minor"/>
      </rPr>
      <t>1.0</t>
    </r>
    <r>
      <rPr>
        <sz val="11"/>
        <color theme="1"/>
        <rFont val="Aptos Narrow"/>
        <family val="2"/>
        <scheme val="minor"/>
      </rPr>
      <t xml:space="preserve"> for low roof, suburban)</t>
    </r>
  </si>
  <si>
    <r>
      <t xml:space="preserve">(C_t): topographic factor (use </t>
    </r>
    <r>
      <rPr>
        <b/>
        <sz val="11"/>
        <color theme="1"/>
        <rFont val="Aptos Narrow"/>
        <family val="2"/>
        <scheme val="minor"/>
      </rPr>
      <t>1.0</t>
    </r>
    <r>
      <rPr>
        <sz val="11"/>
        <color theme="1"/>
        <rFont val="Aptos Narrow"/>
        <family val="2"/>
        <scheme val="minor"/>
      </rPr>
      <t xml:space="preserve"> unless on a hill/crest)</t>
    </r>
  </si>
  <si>
    <r>
      <t xml:space="preserve">(C_{g,\text{ext}}): gust factor (use </t>
    </r>
    <r>
      <rPr>
        <b/>
        <sz val="11"/>
        <color theme="1"/>
        <rFont val="Aptos Narrow"/>
        <family val="2"/>
        <scheme val="minor"/>
      </rPr>
      <t>2.0</t>
    </r>
    <r>
      <rPr>
        <sz val="11"/>
        <color theme="1"/>
        <rFont val="Aptos Narrow"/>
        <family val="2"/>
        <scheme val="minor"/>
      </rPr>
      <t xml:space="preserve"> for main frame / line load)</t>
    </r>
  </si>
  <si>
    <r>
      <t xml:space="preserve">(C_{p,\text{wall}}): pressure coeff for windward wall (use </t>
    </r>
    <r>
      <rPr>
        <b/>
        <sz val="11"/>
        <color theme="1"/>
        <rFont val="Aptos Narrow"/>
        <family val="2"/>
        <scheme val="minor"/>
      </rPr>
      <t>+0.8</t>
    </r>
    <r>
      <rPr>
        <sz val="11"/>
        <color theme="1"/>
        <rFont val="Aptos Narrow"/>
        <family val="2"/>
        <scheme val="minor"/>
      </rPr>
      <t xml:space="preserve"> as a practical default)</t>
    </r>
  </si>
  <si>
    <t>Numerically for your case (Mission City)</t>
  </si>
  <si>
    <t>Convert (q_\text{ref}): (0.43 \times 20.885 = 8.98) psf</t>
  </si>
  <si>
    <t>Multiply factors: (8.98 \times 1.0 \times 1.0 \times 2.0 \times 0.8 = \mathbf{14.4\ psf})</t>
  </si>
  <si>
    <t>✅ Set in your sheet:</t>
  </si>
  <si>
    <t>wind_wall_psf = 14.4</t>
  </si>
  <si>
    <t>Then:</t>
  </si>
  <si>
    <r>
      <t xml:space="preserve">If your </t>
    </r>
    <r>
      <rPr>
        <b/>
        <sz val="11"/>
        <color theme="1"/>
        <rFont val="Aptos Narrow"/>
        <family val="2"/>
        <scheme val="minor"/>
      </rPr>
      <t>fascia/edge skirt is 12 in (1.0 ft)</t>
    </r>
    <r>
      <rPr>
        <sz val="11"/>
        <color theme="1"/>
        <rFont val="Aptos Narrow"/>
        <family val="2"/>
        <scheme val="minor"/>
      </rPr>
      <t xml:space="preserve"> → </t>
    </r>
    <r>
      <rPr>
        <sz val="10"/>
        <color theme="1"/>
        <rFont val="Arial Unicode MS"/>
      </rPr>
      <t>lateral_line_load_plf = 14.4 × 1.0 = 14.4 plf</t>
    </r>
  </si>
  <si>
    <r>
      <t xml:space="preserve">If it’s </t>
    </r>
    <r>
      <rPr>
        <b/>
        <sz val="11"/>
        <color theme="1"/>
        <rFont val="Aptos Narrow"/>
        <family val="2"/>
        <scheme val="minor"/>
      </rPr>
      <t>9 in (0.75 ft)</t>
    </r>
    <r>
      <rPr>
        <sz val="11"/>
        <color theme="1"/>
        <rFont val="Aptos Narrow"/>
        <family val="2"/>
        <scheme val="minor"/>
      </rPr>
      <t xml:space="preserve"> → </t>
    </r>
    <r>
      <rPr>
        <sz val="10"/>
        <color theme="1"/>
        <rFont val="Arial Unicode MS"/>
      </rPr>
      <t>= 14.4 × 0.75 = 10.8 plf</t>
    </r>
  </si>
  <si>
    <r>
      <t xml:space="preserve">If you have a </t>
    </r>
    <r>
      <rPr>
        <b/>
        <sz val="11"/>
        <color theme="1"/>
        <rFont val="Aptos Narrow"/>
        <family val="2"/>
        <scheme val="minor"/>
      </rPr>
      <t>privacy panel</t>
    </r>
    <r>
      <rPr>
        <sz val="11"/>
        <color theme="1"/>
        <rFont val="Aptos Narrow"/>
        <family val="2"/>
        <scheme val="minor"/>
      </rPr>
      <t xml:space="preserve"> or other solid infill along that beam, use </t>
    </r>
    <r>
      <rPr>
        <b/>
        <sz val="11"/>
        <color theme="1"/>
        <rFont val="Aptos Narrow"/>
        <family val="2"/>
        <scheme val="minor"/>
      </rPr>
      <t>its full height</t>
    </r>
    <r>
      <rPr>
        <sz val="11"/>
        <color theme="1"/>
        <rFont val="Aptos Narrow"/>
        <family val="2"/>
        <scheme val="minor"/>
      </rPr>
      <t xml:space="preserve"> (e.g., 3 ft → </t>
    </r>
    <r>
      <rPr>
        <sz val="10"/>
        <color theme="1"/>
        <rFont val="Arial Unicode MS"/>
      </rPr>
      <t>14.4 × 3 = 43.2 plf</t>
    </r>
    <r>
      <rPr>
        <sz val="11"/>
        <color theme="1"/>
        <rFont val="Aptos Narrow"/>
        <family val="2"/>
        <scheme val="minor"/>
      </rPr>
      <t>).</t>
    </r>
  </si>
  <si>
    <t>Notes</t>
  </si>
  <si>
    <r>
      <t xml:space="preserve">We’re using </t>
    </r>
    <r>
      <rPr>
        <b/>
        <sz val="11"/>
        <color theme="1"/>
        <rFont val="Aptos Narrow"/>
        <family val="2"/>
        <scheme val="minor"/>
      </rPr>
      <t>external pressure only</t>
    </r>
    <r>
      <rPr>
        <sz val="11"/>
        <color theme="1"/>
        <rFont val="Aptos Narrow"/>
        <family val="2"/>
        <scheme val="minor"/>
      </rPr>
      <t xml:space="preserve"> for the horizontal line on the beam; internal pressure mainly affects net pressure on closed walls/roofs, not this fascia strip line load.</t>
    </r>
  </si>
  <si>
    <r>
      <t xml:space="preserve">If you later refine (C_e) or (C_p) from the code figures, just rerun the multiplication and update </t>
    </r>
    <r>
      <rPr>
        <sz val="10"/>
        <color theme="1"/>
        <rFont val="Arial Unicode MS"/>
      </rPr>
      <t>wind_wall_psf</t>
    </r>
    <r>
      <rPr>
        <sz val="11"/>
        <color theme="1"/>
        <rFont val="Aptos Narrow"/>
        <family val="2"/>
        <scheme val="minor"/>
      </rPr>
      <t>.</t>
    </r>
  </si>
  <si>
    <r>
      <t xml:space="preserve">If you tell me your </t>
    </r>
    <r>
      <rPr>
        <b/>
        <sz val="11"/>
        <color theme="1"/>
        <rFont val="Aptos Narrow"/>
        <family val="2"/>
        <scheme val="minor"/>
      </rPr>
      <t>actual exposed height</t>
    </r>
    <r>
      <rPr>
        <sz val="11"/>
        <color theme="1"/>
        <rFont val="Aptos Narrow"/>
        <family val="2"/>
        <scheme val="minor"/>
      </rPr>
      <t xml:space="preserve"> on the outer beam (fascia/ skirt height, or panel height), I can give you the exact </t>
    </r>
    <r>
      <rPr>
        <sz val="10"/>
        <color theme="1"/>
        <rFont val="Arial Unicode MS"/>
      </rPr>
      <t>lateral_line_load_plf</t>
    </r>
    <r>
      <rPr>
        <sz val="11"/>
        <color theme="1"/>
        <rFont val="Aptos Narrow"/>
        <family val="2"/>
        <scheme val="minor"/>
      </rPr>
      <t xml:space="preserve"> to paste in.</t>
    </r>
  </si>
  <si>
    <t>Great one—this field trips people up.</t>
  </si>
  <si>
    <r>
      <t xml:space="preserve">What </t>
    </r>
    <r>
      <rPr>
        <b/>
        <sz val="10"/>
        <color theme="1"/>
        <rFont val="Arial Unicode MS"/>
      </rPr>
      <t>post_to_beam_arm_in</t>
    </r>
    <r>
      <rPr>
        <b/>
        <sz val="24"/>
        <color theme="1"/>
        <rFont val="Aptos Narrow"/>
        <family val="2"/>
        <scheme val="minor"/>
      </rPr>
      <t xml:space="preserve"> is</t>
    </r>
  </si>
  <si>
    <r>
      <t xml:space="preserve">It’s the </t>
    </r>
    <r>
      <rPr>
        <b/>
        <sz val="11"/>
        <color theme="1"/>
        <rFont val="Aptos Narrow"/>
        <family val="2"/>
        <scheme val="minor"/>
      </rPr>
      <t>lever arm (in inches)</t>
    </r>
    <r>
      <rPr>
        <sz val="11"/>
        <color theme="1"/>
        <rFont val="Aptos Narrow"/>
        <family val="2"/>
        <scheme val="minor"/>
      </rPr>
      <t xml:space="preserve"> between where the </t>
    </r>
    <r>
      <rPr>
        <b/>
        <sz val="11"/>
        <color theme="1"/>
        <rFont val="Aptos Narrow"/>
        <family val="2"/>
        <scheme val="minor"/>
      </rPr>
      <t>lateral load</t>
    </r>
    <r>
      <rPr>
        <sz val="11"/>
        <color theme="1"/>
        <rFont val="Aptos Narrow"/>
        <family val="2"/>
        <scheme val="minor"/>
      </rPr>
      <t xml:space="preserve"> effectively acts in the </t>
    </r>
    <r>
      <rPr>
        <b/>
        <sz val="11"/>
        <color theme="1"/>
        <rFont val="Aptos Narrow"/>
        <family val="2"/>
        <scheme val="minor"/>
      </rPr>
      <t>beam</t>
    </r>
    <r>
      <rPr>
        <sz val="11"/>
        <color theme="1"/>
        <rFont val="Aptos Narrow"/>
        <family val="2"/>
        <scheme val="minor"/>
      </rPr>
      <t xml:space="preserve"> and the </t>
    </r>
    <r>
      <rPr>
        <b/>
        <sz val="11"/>
        <color theme="1"/>
        <rFont val="Aptos Narrow"/>
        <family val="2"/>
        <scheme val="minor"/>
      </rPr>
      <t>fastener group</t>
    </r>
    <r>
      <rPr>
        <sz val="11"/>
        <color theme="1"/>
        <rFont val="Aptos Narrow"/>
        <family val="2"/>
        <scheme val="minor"/>
      </rPr>
      <t xml:space="preserve"> of your </t>
    </r>
    <r>
      <rPr>
        <b/>
        <sz val="11"/>
        <color theme="1"/>
        <rFont val="Aptos Narrow"/>
        <family val="2"/>
        <scheme val="minor"/>
      </rPr>
      <t>top post–to–beam connector</t>
    </r>
    <r>
      <rPr>
        <sz val="11"/>
        <color theme="1"/>
        <rFont val="Aptos Narrow"/>
        <family val="2"/>
        <scheme val="minor"/>
      </rPr>
      <t>.</t>
    </r>
  </si>
  <si>
    <r>
      <t xml:space="preserve">Your program uses it to estimate a </t>
    </r>
    <r>
      <rPr>
        <b/>
        <sz val="11"/>
        <color theme="1"/>
        <rFont val="Aptos Narrow"/>
        <family val="2"/>
        <scheme val="minor"/>
      </rPr>
      <t>moment demand</t>
    </r>
    <r>
      <rPr>
        <sz val="11"/>
        <color theme="1"/>
        <rFont val="Aptos Narrow"/>
        <family val="2"/>
        <scheme val="minor"/>
      </rPr>
      <t xml:space="preserve"> on the top connector:</t>
    </r>
  </si>
  <si>
    <t>\text{moment demand (lb·in)} ;=; \text{lateral_lb} \times \texttt{post_to_beam_arm_in}</t>
  </si>
  <si>
    <r>
      <t xml:space="preserve">If the fasteners are </t>
    </r>
    <r>
      <rPr>
        <b/>
        <sz val="11"/>
        <color theme="1"/>
        <rFont val="Aptos Narrow"/>
        <family val="2"/>
        <scheme val="minor"/>
      </rPr>
      <t>right at</t>
    </r>
    <r>
      <rPr>
        <sz val="11"/>
        <color theme="1"/>
        <rFont val="Aptos Narrow"/>
        <family val="2"/>
        <scheme val="minor"/>
      </rPr>
      <t xml:space="preserve"> the lateral load line → arm ≈ </t>
    </r>
    <r>
      <rPr>
        <b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scheme val="minor"/>
      </rPr>
      <t xml:space="preserve"> → almost </t>
    </r>
    <r>
      <rPr>
        <b/>
        <sz val="11"/>
        <color theme="1"/>
        <rFont val="Aptos Narrow"/>
        <family val="2"/>
        <scheme val="minor"/>
      </rPr>
      <t>no moment</t>
    </r>
    <r>
      <rPr>
        <sz val="11"/>
        <color theme="1"/>
        <rFont val="Aptos Narrow"/>
        <family val="2"/>
        <scheme val="minor"/>
      </rPr>
      <t>.</t>
    </r>
  </si>
  <si>
    <r>
      <t xml:space="preserve">If the fasteners are </t>
    </r>
    <r>
      <rPr>
        <b/>
        <sz val="11"/>
        <color theme="1"/>
        <rFont val="Aptos Narrow"/>
        <family val="2"/>
        <scheme val="minor"/>
      </rPr>
      <t>offset</t>
    </r>
    <r>
      <rPr>
        <sz val="11"/>
        <color theme="1"/>
        <rFont val="Aptos Narrow"/>
        <family val="2"/>
        <scheme val="minor"/>
      </rPr>
      <t xml:space="preserve"> (above/below) from that load line → </t>
    </r>
    <r>
      <rPr>
        <b/>
        <sz val="11"/>
        <color theme="1"/>
        <rFont val="Aptos Narrow"/>
        <family val="2"/>
        <scheme val="minor"/>
      </rPr>
      <t>non-zero moment</t>
    </r>
    <r>
      <rPr>
        <sz val="11"/>
        <color theme="1"/>
        <rFont val="Aptos Narrow"/>
        <family val="2"/>
        <scheme val="minor"/>
      </rPr>
      <t>.</t>
    </r>
  </si>
  <si>
    <t>How to approximate the arm (simple rule)</t>
  </si>
  <si>
    <r>
      <t xml:space="preserve">1. Assume the </t>
    </r>
    <r>
      <rPr>
        <b/>
        <sz val="11"/>
        <color theme="1"/>
        <rFont val="Aptos Narrow"/>
        <family val="2"/>
        <scheme val="minor"/>
      </rPr>
      <t>lateral load</t>
    </r>
    <r>
      <rPr>
        <sz val="11"/>
        <color theme="1"/>
        <rFont val="Aptos Narrow"/>
        <family val="2"/>
        <scheme val="minor"/>
      </rPr>
      <t xml:space="preserve"> acts roughly at the </t>
    </r>
    <r>
      <rPr>
        <b/>
        <sz val="11"/>
        <color theme="1"/>
        <rFont val="Aptos Narrow"/>
        <family val="2"/>
        <scheme val="minor"/>
      </rPr>
      <t>beam’s centroid</t>
    </r>
    <r>
      <rPr>
        <sz val="11"/>
        <color theme="1"/>
        <rFont val="Aptos Narrow"/>
        <family val="2"/>
        <scheme val="minor"/>
      </rPr>
      <t xml:space="preserve"> (≈ mid-depth of the beam).</t>
    </r>
  </si>
  <si>
    <r>
      <t xml:space="preserve">For a 6×8 (actual </t>
    </r>
    <r>
      <rPr>
        <b/>
        <sz val="11"/>
        <color theme="1"/>
        <rFont val="Aptos Narrow"/>
        <family val="2"/>
        <scheme val="minor"/>
      </rPr>
      <t>d ≈ 7.25"</t>
    </r>
    <r>
      <rPr>
        <sz val="11"/>
        <color theme="1"/>
        <rFont val="Aptos Narrow"/>
        <family val="2"/>
        <scheme val="minor"/>
      </rPr>
      <t xml:space="preserve">), the beam centroid is about </t>
    </r>
    <r>
      <rPr>
        <b/>
        <sz val="11"/>
        <color theme="1"/>
        <rFont val="Aptos Narrow"/>
        <family val="2"/>
        <scheme val="minor"/>
      </rPr>
      <t>7.25/2 ≈ 3.6"</t>
    </r>
    <r>
      <rPr>
        <sz val="11"/>
        <color theme="1"/>
        <rFont val="Aptos Narrow"/>
        <family val="2"/>
        <scheme val="minor"/>
      </rPr>
      <t xml:space="preserve"> down from the </t>
    </r>
    <r>
      <rPr>
        <b/>
        <sz val="11"/>
        <color theme="1"/>
        <rFont val="Aptos Narrow"/>
        <family val="2"/>
        <scheme val="minor"/>
      </rPr>
      <t>top</t>
    </r>
    <r>
      <rPr>
        <sz val="11"/>
        <color theme="1"/>
        <rFont val="Aptos Narrow"/>
        <family val="2"/>
        <scheme val="minor"/>
      </rPr>
      <t xml:space="preserve"> of the beam.</t>
    </r>
  </si>
  <si>
    <r>
      <t xml:space="preserve">2. Find the </t>
    </r>
    <r>
      <rPr>
        <b/>
        <sz val="11"/>
        <color theme="1"/>
        <rFont val="Aptos Narrow"/>
        <family val="2"/>
        <scheme val="minor"/>
      </rPr>
      <t>centroid of the fastener group</t>
    </r>
    <r>
      <rPr>
        <sz val="11"/>
        <color theme="1"/>
        <rFont val="Aptos Narrow"/>
        <family val="2"/>
        <scheme val="minor"/>
      </rPr>
      <t xml:space="preserve"> in your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(the average height of the bolts/screws that actually resist the load), measured from the </t>
    </r>
    <r>
      <rPr>
        <b/>
        <sz val="11"/>
        <color theme="1"/>
        <rFont val="Aptos Narrow"/>
        <family val="2"/>
        <scheme val="minor"/>
      </rPr>
      <t>same reference</t>
    </r>
    <r>
      <rPr>
        <sz val="11"/>
        <color theme="1"/>
        <rFont val="Aptos Narrow"/>
        <family val="2"/>
        <scheme val="minor"/>
      </rPr>
      <t xml:space="preserve"> (e.g., top of beam).</t>
    </r>
  </si>
  <si>
    <r>
      <t xml:space="preserve">3. The </t>
    </r>
    <r>
      <rPr>
        <b/>
        <sz val="11"/>
        <color theme="1"/>
        <rFont val="Aptos Narrow"/>
        <family val="2"/>
        <scheme val="minor"/>
      </rPr>
      <t>vertical difference</t>
    </r>
    <r>
      <rPr>
        <sz val="11"/>
        <color theme="1"/>
        <rFont val="Aptos Narrow"/>
        <family val="2"/>
        <scheme val="minor"/>
      </rPr>
      <t xml:space="preserve"> between those two is your </t>
    </r>
    <r>
      <rPr>
        <b/>
        <sz val="11"/>
        <color theme="1"/>
        <rFont val="Aptos Narrow"/>
        <family val="2"/>
        <scheme val="minor"/>
      </rPr>
      <t>arm</t>
    </r>
    <r>
      <rPr>
        <sz val="11"/>
        <color theme="1"/>
        <rFont val="Aptos Narrow"/>
        <family val="2"/>
        <scheme val="minor"/>
      </rPr>
      <t>.</t>
    </r>
  </si>
  <si>
    <t>\texttt{post_to_beam_arm_in} ;\approx; \big|;y_{\text{beam centroid}} ;-; y_{\text{connector fastener centroid}};\big|</t>
  </si>
  <si>
    <r>
      <t xml:space="preserve">Use </t>
    </r>
    <r>
      <rPr>
        <b/>
        <sz val="11"/>
        <color theme="1"/>
        <rFont val="Aptos Narrow"/>
        <family val="2"/>
        <scheme val="minor"/>
      </rPr>
      <t>vertical</t>
    </r>
    <r>
      <rPr>
        <sz val="11"/>
        <color theme="1"/>
        <rFont val="Aptos Narrow"/>
        <family val="2"/>
        <scheme val="minor"/>
      </rPr>
      <t xml:space="preserve"> distance. (We’re modeling the connector’s fasteners taking a couple from a lateral force acting through the beam.)</t>
    </r>
  </si>
  <si>
    <t>Quick presets (use one that matches your hardware)</t>
  </si>
  <si>
    <t>Moment-rated cap/seat where fasteners line up near mid-depth</t>
  </si>
  <si>
    <r>
      <t xml:space="preserve">Arm ≈ </t>
    </r>
    <r>
      <rPr>
        <b/>
        <sz val="11"/>
        <color theme="1"/>
        <rFont val="Aptos Narrow"/>
        <family val="2"/>
        <scheme val="minor"/>
      </rPr>
      <t>0–1"</t>
    </r>
    <r>
      <rPr>
        <sz val="11"/>
        <color theme="1"/>
        <rFont val="Aptos Narrow"/>
        <family val="2"/>
        <scheme val="minor"/>
      </rPr>
      <t xml:space="preserve"> (enter </t>
    </r>
    <r>
      <rPr>
        <b/>
        <sz val="11"/>
        <color theme="1"/>
        <rFont val="Aptos Narrow"/>
        <family val="2"/>
        <scheme val="minor"/>
      </rPr>
      <t>0</t>
    </r>
    <r>
      <rPr>
        <sz val="11"/>
        <color theme="1"/>
        <rFont val="Aptos Narrow"/>
        <family val="2"/>
        <scheme val="minor"/>
      </rPr>
      <t xml:space="preserve"> if you want no moment check).</t>
    </r>
  </si>
  <si>
    <t>Flat T-strap (e.g., APT6/1616HTPC) with fasteners mostly near the top or face</t>
  </si>
  <si>
    <r>
      <t xml:space="preserve">Arm ≈ </t>
    </r>
    <r>
      <rPr>
        <b/>
        <sz val="11"/>
        <color theme="1"/>
        <rFont val="Aptos Narrow"/>
        <family val="2"/>
        <scheme val="minor"/>
      </rPr>
      <t>2–4"</t>
    </r>
    <r>
      <rPr>
        <sz val="11"/>
        <color theme="1"/>
        <rFont val="Aptos Narrow"/>
        <family val="2"/>
        <scheme val="minor"/>
      </rPr>
      <t xml:space="preserve"> (often </t>
    </r>
    <r>
      <rPr>
        <b/>
        <sz val="11"/>
        <color theme="1"/>
        <rFont val="Aptos Narrow"/>
        <family val="2"/>
        <scheme val="minor"/>
      </rPr>
      <t>~3"</t>
    </r>
    <r>
      <rPr>
        <sz val="11"/>
        <color theme="1"/>
        <rFont val="Aptos Narrow"/>
        <family val="2"/>
        <scheme val="minor"/>
      </rPr>
      <t xml:space="preserve"> on a 6×8).</t>
    </r>
  </si>
  <si>
    <t>Only face screws high or low on the beam</t>
  </si>
  <si>
    <r>
      <t xml:space="preserve">Measure to that screw group; arm could be </t>
    </r>
    <r>
      <rPr>
        <b/>
        <sz val="11"/>
        <color theme="1"/>
        <rFont val="Aptos Narrow"/>
        <family val="2"/>
        <scheme val="minor"/>
      </rPr>
      <t>3–5"</t>
    </r>
    <r>
      <rPr>
        <sz val="11"/>
        <color theme="1"/>
        <rFont val="Aptos Narrow"/>
        <family val="2"/>
        <scheme val="minor"/>
      </rPr>
      <t>.</t>
    </r>
  </si>
  <si>
    <t>Your case (example values)</t>
  </si>
  <si>
    <r>
      <t>Beam</t>
    </r>
    <r>
      <rPr>
        <sz val="11"/>
        <color theme="1"/>
        <rFont val="Aptos Narrow"/>
        <family val="2"/>
        <scheme val="minor"/>
      </rPr>
      <t xml:space="preserve">: 6×8 cedar, </t>
    </r>
    <r>
      <rPr>
        <b/>
        <sz val="11"/>
        <color theme="1"/>
        <rFont val="Aptos Narrow"/>
        <family val="2"/>
        <scheme val="minor"/>
      </rPr>
      <t>depth ≈ 7.25"</t>
    </r>
    <r>
      <rPr>
        <sz val="11"/>
        <color theme="1"/>
        <rFont val="Aptos Narrow"/>
        <family val="2"/>
        <scheme val="minor"/>
      </rPr>
      <t xml:space="preserve"> → centroid ≈ </t>
    </r>
    <r>
      <rPr>
        <b/>
        <sz val="11"/>
        <color theme="1"/>
        <rFont val="Aptos Narrow"/>
        <family val="2"/>
        <scheme val="minor"/>
      </rPr>
      <t>3.6"</t>
    </r>
    <r>
      <rPr>
        <sz val="11"/>
        <color theme="1"/>
        <rFont val="Aptos Narrow"/>
        <family val="2"/>
        <scheme val="minor"/>
      </rPr>
      <t xml:space="preserve"> down from top.</t>
    </r>
  </si>
  <si>
    <r>
      <t>Connector</t>
    </r>
    <r>
      <rPr>
        <sz val="11"/>
        <color theme="1"/>
        <rFont val="Aptos Narrow"/>
        <family val="2"/>
        <scheme val="minor"/>
      </rPr>
      <t>:</t>
    </r>
  </si>
  <si>
    <r>
      <t xml:space="preserve">If your </t>
    </r>
    <r>
      <rPr>
        <b/>
        <sz val="11"/>
        <color theme="1"/>
        <rFont val="Aptos Narrow"/>
        <family val="2"/>
        <scheme val="minor"/>
      </rPr>
      <t>T-strap</t>
    </r>
    <r>
      <rPr>
        <sz val="11"/>
        <color theme="1"/>
        <rFont val="Aptos Narrow"/>
        <family val="2"/>
        <scheme val="minor"/>
      </rPr>
      <t xml:space="preserve"> bolt group centroid is ≈ </t>
    </r>
    <r>
      <rPr>
        <b/>
        <sz val="11"/>
        <color theme="1"/>
        <rFont val="Aptos Narrow"/>
        <family val="2"/>
        <scheme val="minor"/>
      </rPr>
      <t>1.5"</t>
    </r>
    <r>
      <rPr>
        <sz val="11"/>
        <color theme="1"/>
        <rFont val="Aptos Narrow"/>
        <family val="2"/>
        <scheme val="minor"/>
      </rPr>
      <t xml:space="preserve"> down from the </t>
    </r>
    <r>
      <rPr>
        <b/>
        <sz val="11"/>
        <color theme="1"/>
        <rFont val="Aptos Narrow"/>
        <family val="2"/>
        <scheme val="minor"/>
      </rPr>
      <t>top</t>
    </r>
    <r>
      <rPr>
        <sz val="11"/>
        <color theme="1"/>
        <rFont val="Aptos Narrow"/>
        <family val="2"/>
        <scheme val="minor"/>
      </rPr>
      <t xml:space="preserve"> of beam →</t>
    </r>
  </si>
  <si>
    <r>
      <t xml:space="preserve">arm ≈ |3.6 − 1.5| = </t>
    </r>
    <r>
      <rPr>
        <b/>
        <sz val="11"/>
        <color theme="1"/>
        <rFont val="Aptos Narrow"/>
        <family val="2"/>
        <scheme val="minor"/>
      </rPr>
      <t>2.1"</t>
    </r>
    <r>
      <rPr>
        <sz val="11"/>
        <color theme="1"/>
        <rFont val="Aptos Narrow"/>
        <family val="2"/>
        <scheme val="minor"/>
      </rPr>
      <t xml:space="preserve"> → put </t>
    </r>
    <r>
      <rPr>
        <b/>
        <sz val="11"/>
        <color theme="1"/>
        <rFont val="Aptos Narrow"/>
        <family val="2"/>
        <scheme val="minor"/>
      </rPr>
      <t>2.0–2.5</t>
    </r>
    <r>
      <rPr>
        <sz val="11"/>
        <color theme="1"/>
        <rFont val="Aptos Narrow"/>
        <family val="2"/>
        <scheme val="minor"/>
      </rPr>
      <t>.</t>
    </r>
  </si>
  <si>
    <r>
      <t xml:space="preserve">If bolts land near </t>
    </r>
    <r>
      <rPr>
        <b/>
        <sz val="11"/>
        <color theme="1"/>
        <rFont val="Aptos Narrow"/>
        <family val="2"/>
        <scheme val="minor"/>
      </rPr>
      <t>mid-depth</t>
    </r>
    <r>
      <rPr>
        <sz val="11"/>
        <color theme="1"/>
        <rFont val="Aptos Narrow"/>
        <family val="2"/>
        <scheme val="minor"/>
      </rPr>
      <t xml:space="preserve"> (≈ 3.6") → arm ≈ </t>
    </r>
    <r>
      <rPr>
        <b/>
        <sz val="11"/>
        <color theme="1"/>
        <rFont val="Aptos Narrow"/>
        <family val="2"/>
        <scheme val="minor"/>
      </rPr>
      <t>0–1"</t>
    </r>
    <r>
      <rPr>
        <sz val="11"/>
        <color theme="1"/>
        <rFont val="Aptos Narrow"/>
        <family val="2"/>
        <scheme val="minor"/>
      </rPr>
      <t>.</t>
    </r>
  </si>
  <si>
    <r>
      <t xml:space="preserve">If bolts are low (say centroid ≈ </t>
    </r>
    <r>
      <rPr>
        <b/>
        <sz val="11"/>
        <color theme="1"/>
        <rFont val="Aptos Narrow"/>
        <family val="2"/>
        <scheme val="minor"/>
      </rPr>
      <t>5.5"</t>
    </r>
    <r>
      <rPr>
        <sz val="11"/>
        <color theme="1"/>
        <rFont val="Aptos Narrow"/>
        <family val="2"/>
        <scheme val="minor"/>
      </rPr>
      <t xml:space="preserve">) → arm ≈ |3.6 − 5.5| = </t>
    </r>
    <r>
      <rPr>
        <b/>
        <sz val="11"/>
        <color theme="1"/>
        <rFont val="Aptos Narrow"/>
        <family val="2"/>
        <scheme val="minor"/>
      </rPr>
      <t>1.9"</t>
    </r>
    <r>
      <rPr>
        <sz val="11"/>
        <color theme="1"/>
        <rFont val="Aptos Narrow"/>
        <family val="2"/>
        <scheme val="minor"/>
      </rPr>
      <t>.</t>
    </r>
  </si>
  <si>
    <r>
      <t xml:space="preserve">If you’re unsure, </t>
    </r>
    <r>
      <rPr>
        <b/>
        <sz val="11"/>
        <color theme="1"/>
        <rFont val="Aptos Narrow"/>
        <family val="2"/>
        <scheme val="minor"/>
      </rPr>
      <t>use 3"</t>
    </r>
    <r>
      <rPr>
        <sz val="11"/>
        <color theme="1"/>
        <rFont val="Aptos Narrow"/>
        <family val="2"/>
        <scheme val="minor"/>
      </rPr>
      <t xml:space="preserve"> for a conservative screening with typical decorative straps.</t>
    </r>
  </si>
  <si>
    <t>When to use 0</t>
  </si>
  <si>
    <r>
      <t xml:space="preserve">If your connector </t>
    </r>
    <r>
      <rPr>
        <b/>
        <sz val="11"/>
        <color theme="1"/>
        <rFont val="Aptos Narrow"/>
        <family val="2"/>
        <scheme val="minor"/>
      </rPr>
      <t>does not have a published moment capacity</t>
    </r>
    <r>
      <rPr>
        <sz val="11"/>
        <color theme="1"/>
        <rFont val="Aptos Narrow"/>
        <family val="2"/>
        <scheme val="minor"/>
      </rPr>
      <t xml:space="preserve"> and you’re </t>
    </r>
    <r>
      <rPr>
        <b/>
        <sz val="11"/>
        <color theme="1"/>
        <rFont val="Aptos Narrow"/>
        <family val="2"/>
        <scheme val="minor"/>
      </rPr>
      <t>not</t>
    </r>
    <r>
      <rPr>
        <sz val="11"/>
        <color theme="1"/>
        <rFont val="Aptos Narrow"/>
        <family val="2"/>
        <scheme val="minor"/>
      </rPr>
      <t xml:space="preserve"> asking it to take moment (because you’ll provide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or another lateral system), you can set </t>
    </r>
    <r>
      <rPr>
        <b/>
        <sz val="10"/>
        <color theme="1"/>
        <rFont val="Arial Unicode MS"/>
      </rPr>
      <t>post_to_beam_arm_in = 0</t>
    </r>
    <r>
      <rPr>
        <sz val="11"/>
        <color theme="1"/>
        <rFont val="Aptos Narrow"/>
        <family val="2"/>
        <scheme val="minor"/>
      </rPr>
      <t>.</t>
    </r>
  </si>
  <si>
    <r>
      <t xml:space="preserve">The program will then </t>
    </r>
    <r>
      <rPr>
        <b/>
        <sz val="11"/>
        <color theme="1"/>
        <rFont val="Aptos Narrow"/>
        <family val="2"/>
        <scheme val="minor"/>
      </rPr>
      <t>skip moment</t>
    </r>
    <r>
      <rPr>
        <sz val="11"/>
        <color theme="1"/>
        <rFont val="Aptos Narrow"/>
        <family val="2"/>
        <scheme val="minor"/>
      </rPr>
      <t xml:space="preserve"> and only check lateral/uplift/download against the connector ratings.</t>
    </r>
  </si>
  <si>
    <t>Pro tips</t>
  </si>
  <si>
    <r>
      <t>Smaller arm = happier connector.</t>
    </r>
    <r>
      <rPr>
        <sz val="11"/>
        <color theme="1"/>
        <rFont val="Aptos Narrow"/>
        <family val="2"/>
        <scheme val="minor"/>
      </rPr>
      <t xml:space="preserve"> If a strap gives you a big arm, either choose a connector whose fasteners are closer to mid-depth </t>
    </r>
    <r>
      <rPr>
        <b/>
        <sz val="11"/>
        <color theme="1"/>
        <rFont val="Aptos Narrow"/>
        <family val="2"/>
        <scheme val="minor"/>
      </rPr>
      <t>or</t>
    </r>
    <r>
      <rPr>
        <sz val="11"/>
        <color theme="1"/>
        <rFont val="Aptos Narrow"/>
        <family val="2"/>
        <scheme val="minor"/>
      </rPr>
      <t xml:space="preserve">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so the connector isn’t asked to resist moment.</t>
    </r>
  </si>
  <si>
    <r>
      <t xml:space="preserve">If your connector </t>
    </r>
    <r>
      <rPr>
        <b/>
        <sz val="11"/>
        <color theme="1"/>
        <rFont val="Aptos Narrow"/>
        <family val="2"/>
        <scheme val="minor"/>
      </rPr>
      <t>has a published moment capacity</t>
    </r>
    <r>
      <rPr>
        <sz val="11"/>
        <color theme="1"/>
        <rFont val="Aptos Narrow"/>
        <family val="2"/>
        <scheme val="minor"/>
      </rPr>
      <t xml:space="preserve">, enter it in the </t>
    </r>
    <r>
      <rPr>
        <b/>
        <sz val="11"/>
        <color theme="1"/>
        <rFont val="Aptos Narrow"/>
        <family val="2"/>
        <scheme val="minor"/>
      </rPr>
      <t>Connectors</t>
    </r>
    <r>
      <rPr>
        <sz val="11"/>
        <color theme="1"/>
        <rFont val="Aptos Narrow"/>
        <family val="2"/>
        <scheme val="minor"/>
      </rPr>
      <t xml:space="preserve"> sheet; with a non-zero arm, the program will check it.</t>
    </r>
  </si>
  <si>
    <r>
      <t xml:space="preserve">If you tell me which exact </t>
    </r>
    <r>
      <rPr>
        <b/>
        <sz val="11"/>
        <color theme="1"/>
        <rFont val="Aptos Narrow"/>
        <family val="2"/>
        <scheme val="minor"/>
      </rPr>
      <t>top connector</t>
    </r>
    <r>
      <rPr>
        <sz val="11"/>
        <color theme="1"/>
        <rFont val="Aptos Narrow"/>
        <family val="2"/>
        <scheme val="minor"/>
      </rPr>
      <t xml:space="preserve"> you’ll use and roughly where its </t>
    </r>
    <r>
      <rPr>
        <b/>
        <sz val="11"/>
        <color theme="1"/>
        <rFont val="Aptos Narrow"/>
        <family val="2"/>
        <scheme val="minor"/>
      </rPr>
      <t>bolt/screw rows</t>
    </r>
    <r>
      <rPr>
        <sz val="11"/>
        <color theme="1"/>
        <rFont val="Aptos Narrow"/>
        <family val="2"/>
        <scheme val="minor"/>
      </rPr>
      <t xml:space="preserve"> sit on the beam (distance from the top), I’ll give you a precise </t>
    </r>
    <r>
      <rPr>
        <b/>
        <sz val="11"/>
        <color theme="1"/>
        <rFont val="Aptos Narrow"/>
        <family val="2"/>
        <scheme val="minor"/>
      </rPr>
      <t>arm value</t>
    </r>
    <r>
      <rPr>
        <sz val="11"/>
        <color theme="1"/>
        <rFont val="Aptos Narrow"/>
        <family val="2"/>
        <scheme val="minor"/>
      </rPr>
      <t xml:space="preserve"> to enter.</t>
    </r>
  </si>
  <si>
    <t>footing_length_in</t>
  </si>
  <si>
    <t>footing_width_in</t>
  </si>
  <si>
    <t>Footing_thickness_in</t>
  </si>
  <si>
    <t>footing_depth_below_grade_in</t>
  </si>
  <si>
    <t>soil_bearing_capacity_psf</t>
  </si>
  <si>
    <t>spoi_unit_weight_pct</t>
  </si>
  <si>
    <t>Footing geometry &amp; site</t>
  </si>
  <si>
    <t>Materials &amp; soil</t>
  </si>
  <si>
    <t>base_friction_coeff_mu</t>
  </si>
  <si>
    <t>SF_bearing</t>
  </si>
  <si>
    <t>SF_sliding</t>
  </si>
  <si>
    <t>SF_uplift</t>
  </si>
  <si>
    <t>Friction &amp; safety factors</t>
  </si>
  <si>
    <t>credit_connector_uplift_lb</t>
  </si>
  <si>
    <t xml:space="preserve">Uplift connector (optional if you want to credit it) </t>
  </si>
  <si>
    <t>Include overburden weight?</t>
  </si>
  <si>
    <t>include_soil_overburden</t>
  </si>
  <si>
    <t>concrete_unit_weight_pct</t>
  </si>
  <si>
    <t>RESULT SUMMARY</t>
  </si>
  <si>
    <t>Item</t>
  </si>
  <si>
    <t>Value</t>
  </si>
  <si>
    <t>Status</t>
  </si>
  <si>
    <t>Line load w (plf)</t>
  </si>
  <si>
    <t>Reaction per post (lb)</t>
  </si>
  <si>
    <t>Bending stress (psi)</t>
  </si>
  <si>
    <t>Shear stress (psi)</t>
  </si>
  <si>
    <t>PASS</t>
  </si>
  <si>
    <t>Bearing stress (psi)</t>
  </si>
  <si>
    <t>Deflection Δ (in)</t>
  </si>
  <si>
    <t>Deflection limit (in)</t>
  </si>
  <si>
    <t>Column check</t>
  </si>
  <si>
    <t>— supply Fc′ and post size —</t>
  </si>
  <si>
    <t>SKIPPED</t>
  </si>
  <si>
    <t>Lateral: needs_top_moment_or_bracing</t>
  </si>
  <si>
    <t>OK</t>
  </si>
  <si>
    <t>Lateral: needs_base_anchorage</t>
  </si>
  <si>
    <t>Lateral: span_long_for_depth_watch_deflection</t>
  </si>
  <si>
    <t>CALCULATION LOG</t>
  </si>
  <si>
    <t>Shear:     PASS</t>
  </si>
  <si>
    <t>Bearing:   PASS</t>
  </si>
  <si>
    <t>Column check skipped (provide Fc_axis_prime &amp; post section).</t>
  </si>
  <si>
    <t>Lateral 'needs_top_moment_or_bracing': OK</t>
  </si>
  <si>
    <t>Lateral 'needs_base_anchorage': OK</t>
  </si>
  <si>
    <t>TOP CONNECTOR</t>
  </si>
  <si>
    <t>Model</t>
  </si>
  <si>
    <t>Demand</t>
  </si>
  <si>
    <t>Capacity</t>
  </si>
  <si>
    <t>Utilization</t>
  </si>
  <si>
    <t>download</t>
  </si>
  <si>
    <t>uplift</t>
  </si>
  <si>
    <t>lateral</t>
  </si>
  <si>
    <t>moment</t>
  </si>
  <si>
    <t>BASE CONNECTOR</t>
  </si>
  <si>
    <t>shear</t>
  </si>
  <si>
    <t>FOOTING CHECKS (per post)</t>
  </si>
  <si>
    <t>Demand/Actual</t>
  </si>
  <si>
    <t>Capacity/Allowable</t>
  </si>
  <si>
    <t>Bearing (psf)</t>
  </si>
  <si>
    <t>Sliding (lb)</t>
  </si>
  <si>
    <t>Uplift (lb)</t>
  </si>
  <si>
    <t>FOOTING CALC LOG</t>
  </si>
  <si>
    <t>H_post = 0 (no lateral line load provided)</t>
  </si>
  <si>
    <t>U_post = 0 (no uplift psf or area provided)</t>
  </si>
  <si>
    <t>Beam summary</t>
  </si>
  <si>
    <t>What it is: Uniform load per foot on the beam from roof DL/SL (and any self-weight you included).</t>
  </si>
  <si>
    <r>
      <t xml:space="preserve">If it feels high: confirm </t>
    </r>
    <r>
      <rPr>
        <b/>
        <sz val="11"/>
        <color theme="1"/>
        <rFont val="Aptos Narrow"/>
        <family val="2"/>
        <scheme val="minor"/>
      </rPr>
      <t>DL_psf / SL_psf / tributary_width_ft</t>
    </r>
    <r>
      <rPr>
        <sz val="11"/>
        <color theme="1"/>
        <rFont val="Aptos Narrow"/>
        <family val="2"/>
        <scheme val="minor"/>
      </rPr>
      <t xml:space="preserve"> and overhang assumptions.</t>
    </r>
  </si>
  <si>
    <t>What it is: Vertical load delivered to each post/footing (used later for connectors &amp; footing checks).</t>
  </si>
  <si>
    <r>
      <t xml:space="preserve">To reduce: 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a post), reduce </t>
    </r>
    <r>
      <rPr>
        <b/>
        <sz val="11"/>
        <color theme="1"/>
        <rFont val="Aptos Narrow"/>
        <family val="2"/>
        <scheme val="minor"/>
      </rPr>
      <t>tributary_width_ft</t>
    </r>
    <r>
      <rPr>
        <sz val="11"/>
        <color theme="1"/>
        <rFont val="Aptos Narrow"/>
        <family val="2"/>
        <scheme val="minor"/>
      </rPr>
      <t>, or lighten loads.</t>
    </r>
  </si>
  <si>
    <r>
      <t>Bending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</si>
  <si>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Fiber stress vs. allowable </t>
    </r>
    <r>
      <rPr>
        <b/>
        <sz val="11"/>
        <color theme="1"/>
        <rFont val="Aptos Narrow"/>
        <family val="2"/>
        <scheme val="minor"/>
      </rPr>
      <t>Fb′</t>
    </r>
    <r>
      <rPr>
        <sz val="11"/>
        <color theme="1"/>
        <rFont val="Aptos Narrow"/>
        <family val="2"/>
        <scheme val="minor"/>
      </rPr>
      <t>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</si>
  <si>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</si>
  <si>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 (most effective) or width (e.g., 6×8 → 6×10).</t>
    </r>
  </si>
  <si>
    <r>
      <t xml:space="preserve">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a post).</t>
    </r>
  </si>
  <si>
    <r>
      <t xml:space="preserve">Choose higher-grade/species (higher </t>
    </r>
    <r>
      <rPr>
        <b/>
        <sz val="11"/>
        <color theme="1"/>
        <rFont val="Aptos Narrow"/>
        <family val="2"/>
        <scheme val="minor"/>
      </rPr>
      <t>Fb′</t>
    </r>
    <r>
      <rPr>
        <sz val="11"/>
        <color theme="1"/>
        <rFont val="Aptos Narrow"/>
        <family val="2"/>
        <scheme val="minor"/>
      </rPr>
      <t>).</t>
    </r>
  </si>
  <si>
    <t>Reduce w (loads/tributary width).</t>
  </si>
  <si>
    <r>
      <t>Shear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</si>
  <si>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Web/shear demand vs. allowable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</si>
  <si>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width</t>
    </r>
    <r>
      <rPr>
        <sz val="11"/>
        <color theme="1"/>
        <rFont val="Aptos Narrow"/>
        <family val="2"/>
        <scheme val="minor"/>
      </rPr>
      <t xml:space="preserve"> (b).</t>
    </r>
  </si>
  <si>
    <r>
      <t xml:space="preserve">Use species/grade with higher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</si>
  <si>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t>Reduce w.</t>
  </si>
  <si>
    <r>
      <t>Bearing stress (psi)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</si>
  <si>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Bearing of beam on support vs.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 xml:space="preserve"> (perp. to grain).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</si>
  <si>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bearing area</t>
    </r>
    <r>
      <rPr>
        <sz val="11"/>
        <color theme="1"/>
        <rFont val="Aptos Narrow"/>
        <family val="2"/>
        <scheme val="minor"/>
      </rPr>
      <t xml:space="preserve"> (add bearing plate/shim, wider post/seat).</t>
    </r>
  </si>
  <si>
    <r>
      <t xml:space="preserve">Use species with higher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>.</t>
    </r>
  </si>
  <si>
    <t>Shorten span (lower reaction).</t>
  </si>
  <si>
    <r>
      <t>Deflection Δ (in) / Deflection limit (in)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</si>
  <si>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Service deflection vs. </t>
    </r>
    <r>
      <rPr>
        <b/>
        <sz val="11"/>
        <color theme="1"/>
        <rFont val="Aptos Narrow"/>
        <family val="2"/>
        <scheme val="minor"/>
      </rPr>
      <t>L/deflection_limit_ratio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</si>
  <si>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 (stiffness ∝ d³).</t>
    </r>
  </si>
  <si>
    <r>
      <t xml:space="preserve">Shorten </t>
    </r>
    <r>
      <rPr>
        <b/>
        <sz val="11"/>
        <color theme="1"/>
        <rFont val="Aptos Narrow"/>
        <family val="2"/>
        <scheme val="minor"/>
      </rPr>
      <t>span_ft</t>
    </r>
    <r>
      <rPr>
        <sz val="11"/>
        <color theme="1"/>
        <rFont val="Aptos Narrow"/>
        <family val="2"/>
        <scheme val="minor"/>
      </rPr>
      <t xml:space="preserve"> (add post).</t>
    </r>
  </si>
  <si>
    <r>
      <t xml:space="preserve">Use stiffer species (higher </t>
    </r>
    <r>
      <rPr>
        <b/>
        <sz val="11"/>
        <color theme="1"/>
        <rFont val="Aptos Narrow"/>
        <family val="2"/>
        <scheme val="minor"/>
      </rPr>
      <t>E</t>
    </r>
    <r>
      <rPr>
        <sz val="11"/>
        <color theme="1"/>
        <rFont val="Aptos Narrow"/>
        <family val="2"/>
        <scheme val="minor"/>
      </rPr>
      <t>).</t>
    </r>
  </si>
  <si>
    <r>
      <t>Allowable axial per post (lb)</t>
    </r>
    <r>
      <rPr>
        <sz val="11"/>
        <color theme="1"/>
        <rFont val="Aptos Narrow"/>
        <family val="2"/>
        <scheme val="minor"/>
      </rPr>
      <t xml:space="preserve"> (shown if you entered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 xml:space="preserve"> &amp; post size) → </t>
    </r>
    <r>
      <rPr>
        <b/>
        <sz val="11"/>
        <color theme="1"/>
        <rFont val="Aptos Narrow"/>
        <family val="2"/>
        <scheme val="minor"/>
      </rPr>
      <t>PASS/CHECK</t>
    </r>
  </si>
  <si>
    <t>What it is: Post axial capacity vs. reaction. Includes column-stability factor if your code does that.</t>
  </si>
  <si>
    <r>
      <t xml:space="preserve">Increase </t>
    </r>
    <r>
      <rPr>
        <b/>
        <sz val="11"/>
        <color theme="1"/>
        <rFont val="Aptos Narrow"/>
        <family val="2"/>
        <scheme val="minor"/>
      </rPr>
      <t>post size</t>
    </r>
    <r>
      <rPr>
        <sz val="11"/>
        <color theme="1"/>
        <rFont val="Aptos Narrow"/>
        <family val="2"/>
        <scheme val="minor"/>
      </rPr>
      <t xml:space="preserve"> (area).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</si>
  <si>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unsupported height</t>
    </r>
    <r>
      <rPr>
        <sz val="11"/>
        <color theme="1"/>
        <rFont val="Aptos Narrow"/>
        <family val="2"/>
        <scheme val="minor"/>
      </rPr>
      <t xml:space="preserve"> (add knee braces/rails blocking).</t>
    </r>
  </si>
  <si>
    <r>
      <t xml:space="preserve">Choose species/grade with higher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>.</t>
    </r>
  </si>
  <si>
    <t>Shorten beam span (reduce reaction).</t>
  </si>
  <si>
    <t>Lateral: … (warnings)</t>
  </si>
  <si>
    <t>What it is: Flags based on your inputs (e.g., no knee braces but you’re asking connectors to take moment).</t>
  </si>
  <si>
    <r>
      <t xml:space="preserve">If </t>
    </r>
    <r>
      <rPr>
        <b/>
        <sz val="11"/>
        <color theme="1"/>
        <rFont val="Aptos Narrow"/>
        <family val="2"/>
        <scheme val="minor"/>
      </rPr>
      <t>ATTENTION</t>
    </r>
    <r>
      <rPr>
        <sz val="11"/>
        <color theme="1"/>
        <rFont val="Aptos Narrow"/>
        <family val="2"/>
        <scheme val="minor"/>
      </rPr>
      <t>: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</si>
  <si>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/ diaphragm / shear base.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</si>
  <si>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 xml:space="preserve"> (use a connector with fasteners near mid-depth).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</si>
  <si>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(justify with correct Ce/Cp), or reduce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.</t>
    </r>
  </si>
  <si>
    <t>Connector checks</t>
  </si>
  <si>
    <r>
      <t>TOP CONNECTOR</t>
    </r>
    <r>
      <rPr>
        <sz val="11"/>
        <color theme="1"/>
        <rFont val="Aptos Narrow"/>
        <family val="2"/>
        <scheme val="minor"/>
      </rPr>
      <t xml:space="preserve"> (e.g., 1616HTPC/APT6)</t>
    </r>
  </si>
  <si>
    <r>
      <t>download</t>
    </r>
    <r>
      <rPr>
        <sz val="11"/>
        <color theme="1"/>
        <rFont val="Aptos Narrow"/>
        <family val="2"/>
        <scheme val="minor"/>
      </rPr>
      <t xml:space="preserve"> (lb): gravity at the top seat/strap.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</si>
  <si>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pick a stronger top connector / add a pair / shorten span.</t>
    </r>
  </si>
  <si>
    <r>
      <t>uplift</t>
    </r>
    <r>
      <rPr>
        <sz val="11"/>
        <color theme="1"/>
        <rFont val="Aptos Narrow"/>
        <family val="2"/>
        <scheme val="minor"/>
      </rPr>
      <t xml:space="preserve"> (lb): wind suction at top.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</si>
  <si>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pick a connector with higher uplift rating, add </t>
    </r>
    <r>
      <rPr>
        <b/>
        <sz val="11"/>
        <color theme="1"/>
        <rFont val="Aptos Narrow"/>
        <family val="2"/>
        <scheme val="minor"/>
      </rPr>
      <t>hold-downs</t>
    </r>
    <r>
      <rPr>
        <sz val="11"/>
        <color theme="1"/>
        <rFont val="Aptos Narrow"/>
        <family val="2"/>
        <scheme val="minor"/>
      </rPr>
      <t xml:space="preserve">, reduce </t>
    </r>
    <r>
      <rPr>
        <b/>
        <sz val="11"/>
        <color theme="1"/>
        <rFont val="Aptos Narrow"/>
        <family val="2"/>
        <scheme val="minor"/>
      </rPr>
      <t>roof_uplift_psf</t>
    </r>
    <r>
      <rPr>
        <sz val="11"/>
        <color theme="1"/>
        <rFont val="Aptos Narrow"/>
        <family val="2"/>
        <scheme val="minor"/>
      </rPr>
      <t xml:space="preserve"> (use field/edge zone appropriately), or reduce </t>
    </r>
    <r>
      <rPr>
        <b/>
        <sz val="11"/>
        <color theme="1"/>
        <rFont val="Aptos Narrow"/>
        <family val="2"/>
        <scheme val="minor"/>
      </rPr>
      <t>uplift_area_per_post_ft2</t>
    </r>
    <r>
      <rPr>
        <sz val="11"/>
        <color theme="1"/>
        <rFont val="Aptos Narrow"/>
        <family val="2"/>
        <scheme val="minor"/>
      </rPr>
      <t xml:space="preserve"> (more posts / smaller tributary).</t>
    </r>
  </si>
  <si>
    <r>
      <t>lateral</t>
    </r>
    <r>
      <rPr>
        <sz val="11"/>
        <color theme="1"/>
        <rFont val="Aptos Narrow"/>
        <family val="2"/>
        <scheme val="minor"/>
      </rPr>
      <t xml:space="preserve"> (lb): horizontal shear at top.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</si>
  <si>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stronger connector,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 xml:space="preserve"> (offloads connector), reduce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or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.</t>
    </r>
  </si>
  <si>
    <r>
      <t>moment</t>
    </r>
    <r>
      <rPr>
        <sz val="11"/>
        <color theme="1"/>
        <rFont val="Aptos Narrow"/>
        <family val="2"/>
        <scheme val="minor"/>
      </rPr>
      <t xml:space="preserve"> (lb·in): lateral ×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>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</si>
  <si>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: use hardware that puts fasteners near beam mid-depth (reduce arm),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>, or choose a connector with published moment capacity.</t>
    </r>
  </si>
  <si>
    <r>
      <t>BASE CONNECTOR</t>
    </r>
    <r>
      <rPr>
        <sz val="11"/>
        <color theme="1"/>
        <rFont val="Aptos Narrow"/>
        <family val="2"/>
        <scheme val="minor"/>
      </rPr>
      <t xml:space="preserve"> (e.g., APB66)</t>
    </r>
  </si>
  <si>
    <r>
      <t>shear</t>
    </r>
    <r>
      <rPr>
        <sz val="11"/>
        <color theme="1"/>
        <rFont val="Aptos Narrow"/>
        <family val="2"/>
        <scheme val="minor"/>
      </rPr>
      <t xml:space="preserve"> (lb): lateral at base.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</si>
  <si>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stronger base, add knee braces, increase friction at footing, reduce wind line load.</t>
    </r>
  </si>
  <si>
    <r>
      <t>uplift</t>
    </r>
    <r>
      <rPr>
        <sz val="11"/>
        <color theme="1"/>
        <rFont val="Aptos Narrow"/>
        <family val="2"/>
        <scheme val="minor"/>
      </rPr>
      <t xml:space="preserve"> (lb): suction trying to pull post up.</t>
    </r>
  </si>
  <si>
    <r>
      <t xml:space="preserve">If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: higher-uplift base/anchor, add footing weight/overburden, reduce uplift inputs.</t>
    </r>
  </si>
  <si>
    <t>Footing checks (per post)</t>
  </si>
  <si>
    <r>
      <t>Bearing (psf)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</si>
  <si>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Soil pressure under the post load vs. allowable </t>
    </r>
    <r>
      <rPr>
        <b/>
        <sz val="11"/>
        <color theme="1"/>
        <rFont val="Aptos Narrow"/>
        <family val="2"/>
        <scheme val="minor"/>
      </rPr>
      <t>soil_bearing_capacity_psf / SF_bearing</t>
    </r>
    <r>
      <rPr>
        <sz val="11"/>
        <color theme="1"/>
        <rFont val="Aptos Narrow"/>
        <family val="2"/>
        <scheme val="minor"/>
      </rPr>
      <t>.</t>
    </r>
  </si>
  <si>
    <r>
      <t xml:space="preserve">Increase footing </t>
    </r>
    <r>
      <rPr>
        <b/>
        <sz val="11"/>
        <color theme="1"/>
        <rFont val="Aptos Narrow"/>
        <family val="2"/>
        <scheme val="minor"/>
      </rPr>
      <t>plan area</t>
    </r>
    <r>
      <rPr>
        <sz val="11"/>
        <color theme="1"/>
        <rFont val="Aptos Narrow"/>
        <family val="2"/>
        <scheme val="minor"/>
      </rPr>
      <t xml:space="preserve"> (L×W).</t>
    </r>
  </si>
  <si>
    <r>
      <t xml:space="preserve">Use better </t>
    </r>
    <r>
      <rPr>
        <b/>
        <sz val="11"/>
        <color theme="1"/>
        <rFont val="Aptos Narrow"/>
        <family val="2"/>
        <scheme val="minor"/>
      </rPr>
      <t>soil_bearing_capacity_psf</t>
    </r>
    <r>
      <rPr>
        <sz val="11"/>
        <color theme="1"/>
        <rFont val="Aptos Narrow"/>
        <family val="2"/>
        <scheme val="minor"/>
      </rPr>
      <t xml:space="preserve"> (geotech), or reduce </t>
    </r>
    <r>
      <rPr>
        <b/>
        <sz val="11"/>
        <color theme="1"/>
        <rFont val="Aptos Narrow"/>
        <family val="2"/>
        <scheme val="minor"/>
      </rPr>
      <t>SF_bearing</t>
    </r>
    <r>
      <rPr>
        <sz val="11"/>
        <color theme="1"/>
        <rFont val="Aptos Narrow"/>
        <family val="2"/>
        <scheme val="minor"/>
      </rPr>
      <t xml:space="preserve"> if your value is already “allowable.”</t>
    </r>
  </si>
  <si>
    <t>Reduce reaction (shorter span / more posts).</t>
  </si>
  <si>
    <r>
      <t>Sliding (lb)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</si>
  <si>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Lateral demand vs. friction capacity </t>
    </r>
    <r>
      <rPr>
        <b/>
        <sz val="11"/>
        <color theme="1"/>
        <rFont val="Aptos Narrow"/>
        <family val="2"/>
        <scheme val="minor"/>
      </rPr>
      <t>μ·V_eff/SF_sliding</t>
    </r>
    <r>
      <rPr>
        <sz val="11"/>
        <color theme="1"/>
        <rFont val="Aptos Narrow"/>
        <family val="2"/>
        <scheme val="minor"/>
      </rPr>
      <t>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</si>
  <si>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V_eff</t>
    </r>
    <r>
      <rPr>
        <sz val="11"/>
        <color theme="1"/>
        <rFont val="Aptos Narrow"/>
        <family val="2"/>
        <scheme val="minor"/>
      </rPr>
      <t xml:space="preserve"> (heavier footing, include overburden, thicker footing).</t>
    </r>
  </si>
  <si>
    <r>
      <t xml:space="preserve">Increase </t>
    </r>
    <r>
      <rPr>
        <b/>
        <sz val="11"/>
        <color theme="1"/>
        <rFont val="Aptos Narrow"/>
        <family val="2"/>
        <scheme val="minor"/>
      </rPr>
      <t>μ</t>
    </r>
    <r>
      <rPr>
        <sz val="11"/>
        <color theme="1"/>
        <rFont val="Aptos Narrow"/>
        <family val="2"/>
        <scheme val="minor"/>
      </rPr>
      <t xml:space="preserve"> (roughen base, key into slab/grade beam).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</si>
  <si>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mechanical lateral restraint</t>
    </r>
    <r>
      <rPr>
        <sz val="11"/>
        <color theme="1"/>
        <rFont val="Aptos Narrow"/>
        <family val="2"/>
        <scheme val="minor"/>
      </rPr>
      <t xml:space="preserve"> (pins/dowels—beyond friction model).</t>
    </r>
  </si>
  <si>
    <r>
      <t xml:space="preserve">Reduce lateral (lower </t>
    </r>
    <r>
      <rPr>
        <b/>
        <sz val="11"/>
        <color theme="1"/>
        <rFont val="Aptos Narrow"/>
        <family val="2"/>
        <scheme val="minor"/>
      </rPr>
      <t>wind_wall_psf</t>
    </r>
    <r>
      <rPr>
        <sz val="11"/>
        <color theme="1"/>
        <rFont val="Aptos Narrow"/>
        <family val="2"/>
        <scheme val="minor"/>
      </rPr>
      <t xml:space="preserve"> or </t>
    </r>
    <r>
      <rPr>
        <b/>
        <sz val="11"/>
        <color theme="1"/>
        <rFont val="Aptos Narrow"/>
        <family val="2"/>
        <scheme val="minor"/>
      </rPr>
      <t>exposed_height_ft</t>
    </r>
    <r>
      <rPr>
        <sz val="11"/>
        <color theme="1"/>
        <rFont val="Aptos Narrow"/>
        <family val="2"/>
        <scheme val="minor"/>
      </rPr>
      <t>, add braces).</t>
    </r>
  </si>
  <si>
    <r>
      <t>Uplift (lb)</t>
    </r>
    <r>
      <rPr>
        <sz val="11"/>
        <color theme="1"/>
        <rFont val="Aptos Narrow"/>
        <family val="2"/>
        <scheme val="minor"/>
      </rPr>
      <t xml:space="preserve"> → </t>
    </r>
    <r>
      <rPr>
        <b/>
        <sz val="11"/>
        <color theme="1"/>
        <rFont val="Aptos Narrow"/>
        <family val="2"/>
        <scheme val="minor"/>
      </rPr>
      <t>PASS/CHECK</t>
    </r>
  </si>
  <si>
    <r>
      <t xml:space="preserve">What it is: Wind suction vs. </t>
    </r>
    <r>
      <rPr>
        <b/>
        <sz val="11"/>
        <color theme="1"/>
        <rFont val="Aptos Narrow"/>
        <family val="2"/>
        <scheme val="minor"/>
      </rPr>
      <t>(footing weight + overburden + connector uplift credit)/SF_uplift</t>
    </r>
    <r>
      <rPr>
        <sz val="11"/>
        <color theme="1"/>
        <rFont val="Aptos Narrow"/>
        <family val="2"/>
        <scheme val="minor"/>
      </rPr>
      <t>.</t>
    </r>
  </si>
  <si>
    <r>
      <t xml:space="preserve">Increase footing </t>
    </r>
    <r>
      <rPr>
        <b/>
        <sz val="11"/>
        <color theme="1"/>
        <rFont val="Aptos Narrow"/>
        <family val="2"/>
        <scheme val="minor"/>
      </rPr>
      <t>thickness/size</t>
    </r>
    <r>
      <rPr>
        <sz val="11"/>
        <color theme="1"/>
        <rFont val="Aptos Narrow"/>
        <family val="2"/>
        <scheme val="minor"/>
      </rPr>
      <t xml:space="preserve"> (more concrete weight).</t>
    </r>
  </si>
  <si>
    <r>
      <t>Include overburden</t>
    </r>
    <r>
      <rPr>
        <sz val="11"/>
        <color theme="1"/>
        <rFont val="Aptos Narrow"/>
        <family val="2"/>
        <scheme val="minor"/>
      </rPr>
      <t xml:space="preserve"> (set to Yes and enter depth).</t>
    </r>
  </si>
  <si>
    <r>
      <t xml:space="preserve">Add </t>
    </r>
    <r>
      <rPr>
        <b/>
        <sz val="11"/>
        <color theme="1"/>
        <rFont val="Aptos Narrow"/>
        <family val="2"/>
        <scheme val="minor"/>
      </rPr>
      <t>hold-downs</t>
    </r>
    <r>
      <rPr>
        <sz val="11"/>
        <color theme="1"/>
        <rFont val="Aptos Narrow"/>
        <family val="2"/>
        <scheme val="minor"/>
      </rPr>
      <t xml:space="preserve"> / higher-uplift base connector (enter </t>
    </r>
    <r>
      <rPr>
        <b/>
        <sz val="11"/>
        <color theme="1"/>
        <rFont val="Aptos Narrow"/>
        <family val="2"/>
        <scheme val="minor"/>
      </rPr>
      <t>credit_connector_uplift_lb</t>
    </r>
    <r>
      <rPr>
        <sz val="11"/>
        <color theme="1"/>
        <rFont val="Aptos Narrow"/>
        <family val="2"/>
        <scheme val="minor"/>
      </rPr>
      <t>).</t>
    </r>
  </si>
  <si>
    <r>
      <t xml:space="preserve">Reduce </t>
    </r>
    <r>
      <rPr>
        <b/>
        <sz val="11"/>
        <color theme="1"/>
        <rFont val="Aptos Narrow"/>
        <family val="2"/>
        <scheme val="minor"/>
      </rPr>
      <t>roof_uplift_psf</t>
    </r>
    <r>
      <rPr>
        <sz val="11"/>
        <color theme="1"/>
        <rFont val="Aptos Narrow"/>
        <family val="2"/>
        <scheme val="minor"/>
      </rPr>
      <t xml:space="preserve"> (correct coefficients/zone) or </t>
    </r>
    <r>
      <rPr>
        <b/>
        <sz val="11"/>
        <color theme="1"/>
        <rFont val="Aptos Narrow"/>
        <family val="2"/>
        <scheme val="minor"/>
      </rPr>
      <t>uplift_area_per_post_ft2</t>
    </r>
    <r>
      <rPr>
        <sz val="11"/>
        <color theme="1"/>
        <rFont val="Aptos Narrow"/>
        <family val="2"/>
        <scheme val="minor"/>
      </rPr>
      <t xml:space="preserve"> (more posts).</t>
    </r>
  </si>
  <si>
    <t>Quick “what to tweak” cheat sheet</t>
  </si>
  <si>
    <r>
      <t>Member fails bending/deflection</t>
    </r>
    <r>
      <rPr>
        <sz val="11"/>
        <color theme="1"/>
        <rFont val="Aptos Narrow"/>
        <family val="2"/>
        <scheme val="minor"/>
      </rPr>
      <t xml:space="preserve"> → increase </t>
    </r>
    <r>
      <rPr>
        <b/>
        <sz val="11"/>
        <color theme="1"/>
        <rFont val="Aptos Narrow"/>
        <family val="2"/>
        <scheme val="minor"/>
      </rPr>
      <t>beam depth</t>
    </r>
    <r>
      <rPr>
        <sz val="11"/>
        <color theme="1"/>
        <rFont val="Aptos Narrow"/>
        <family val="2"/>
        <scheme val="minor"/>
      </rPr>
      <t xml:space="preserve">, shorten </t>
    </r>
    <r>
      <rPr>
        <b/>
        <sz val="11"/>
        <color theme="1"/>
        <rFont val="Aptos Narrow"/>
        <family val="2"/>
        <scheme val="minor"/>
      </rPr>
      <t>span</t>
    </r>
    <r>
      <rPr>
        <sz val="11"/>
        <color theme="1"/>
        <rFont val="Aptos Narrow"/>
        <family val="2"/>
        <scheme val="minor"/>
      </rPr>
      <t xml:space="preserve">, higher </t>
    </r>
    <r>
      <rPr>
        <b/>
        <sz val="11"/>
        <color theme="1"/>
        <rFont val="Aptos Narrow"/>
        <family val="2"/>
        <scheme val="minor"/>
      </rPr>
      <t>Fb′/E</t>
    </r>
    <r>
      <rPr>
        <sz val="11"/>
        <color theme="1"/>
        <rFont val="Aptos Narrow"/>
        <family val="2"/>
        <scheme val="minor"/>
      </rPr>
      <t>.</t>
    </r>
  </si>
  <si>
    <r>
      <t>Member fails shear</t>
    </r>
    <r>
      <rPr>
        <sz val="11"/>
        <color theme="1"/>
        <rFont val="Aptos Narrow"/>
        <family val="2"/>
        <scheme val="minor"/>
      </rPr>
      <t xml:space="preserve"> → increase </t>
    </r>
    <r>
      <rPr>
        <b/>
        <sz val="11"/>
        <color theme="1"/>
        <rFont val="Aptos Narrow"/>
        <family val="2"/>
        <scheme val="minor"/>
      </rPr>
      <t>beam width</t>
    </r>
    <r>
      <rPr>
        <sz val="11"/>
        <color theme="1"/>
        <rFont val="Aptos Narrow"/>
        <family val="2"/>
        <scheme val="minor"/>
      </rPr>
      <t xml:space="preserve">, shorten </t>
    </r>
    <r>
      <rPr>
        <b/>
        <sz val="11"/>
        <color theme="1"/>
        <rFont val="Aptos Narrow"/>
        <family val="2"/>
        <scheme val="minor"/>
      </rPr>
      <t>span</t>
    </r>
    <r>
      <rPr>
        <sz val="11"/>
        <color theme="1"/>
        <rFont val="Aptos Narrow"/>
        <family val="2"/>
        <scheme val="minor"/>
      </rPr>
      <t xml:space="preserve">, higher </t>
    </r>
    <r>
      <rPr>
        <b/>
        <sz val="11"/>
        <color theme="1"/>
        <rFont val="Aptos Narrow"/>
        <family val="2"/>
        <scheme val="minor"/>
      </rPr>
      <t>Fv′</t>
    </r>
    <r>
      <rPr>
        <sz val="11"/>
        <color theme="1"/>
        <rFont val="Aptos Narrow"/>
        <family val="2"/>
        <scheme val="minor"/>
      </rPr>
      <t>.</t>
    </r>
  </si>
  <si>
    <r>
      <t>Beam bearing fails</t>
    </r>
    <r>
      <rPr>
        <sz val="11"/>
        <color theme="1"/>
        <rFont val="Aptos Narrow"/>
        <family val="2"/>
        <scheme val="minor"/>
      </rPr>
      <t xml:space="preserve"> → bigger </t>
    </r>
    <r>
      <rPr>
        <b/>
        <sz val="11"/>
        <color theme="1"/>
        <rFont val="Aptos Narrow"/>
        <family val="2"/>
        <scheme val="minor"/>
      </rPr>
      <t>bearing area</t>
    </r>
    <r>
      <rPr>
        <sz val="11"/>
        <color theme="1"/>
        <rFont val="Aptos Narrow"/>
        <family val="2"/>
        <scheme val="minor"/>
      </rPr>
      <t xml:space="preserve"> (plates/seat), higher </t>
    </r>
    <r>
      <rPr>
        <b/>
        <sz val="11"/>
        <color theme="1"/>
        <rFont val="Aptos Narrow"/>
        <family val="2"/>
        <scheme val="minor"/>
      </rPr>
      <t>Fc⊥′</t>
    </r>
    <r>
      <rPr>
        <sz val="11"/>
        <color theme="1"/>
        <rFont val="Aptos Narrow"/>
        <family val="2"/>
        <scheme val="minor"/>
      </rPr>
      <t>, shorten span.</t>
    </r>
  </si>
  <si>
    <r>
      <t>Post axial fails</t>
    </r>
    <r>
      <rPr>
        <sz val="11"/>
        <color theme="1"/>
        <rFont val="Aptos Narrow"/>
        <family val="2"/>
        <scheme val="minor"/>
      </rPr>
      <t xml:space="preserve"> → bigger </t>
    </r>
    <r>
      <rPr>
        <b/>
        <sz val="11"/>
        <color theme="1"/>
        <rFont val="Aptos Narrow"/>
        <family val="2"/>
        <scheme val="minor"/>
      </rPr>
      <t>post size</t>
    </r>
    <r>
      <rPr>
        <sz val="11"/>
        <color theme="1"/>
        <rFont val="Aptos Narrow"/>
        <family val="2"/>
        <scheme val="minor"/>
      </rPr>
      <t xml:space="preserve">, shorter </t>
    </r>
    <r>
      <rPr>
        <b/>
        <sz val="11"/>
        <color theme="1"/>
        <rFont val="Aptos Narrow"/>
        <family val="2"/>
        <scheme val="minor"/>
      </rPr>
      <t>unsupported height</t>
    </r>
    <r>
      <rPr>
        <sz val="11"/>
        <color theme="1"/>
        <rFont val="Aptos Narrow"/>
        <family val="2"/>
        <scheme val="minor"/>
      </rPr>
      <t xml:space="preserve"> (bracing), higher </t>
    </r>
    <r>
      <rPr>
        <b/>
        <sz val="11"/>
        <color theme="1"/>
        <rFont val="Aptos Narrow"/>
        <family val="2"/>
        <scheme val="minor"/>
      </rPr>
      <t>Fc′</t>
    </r>
    <r>
      <rPr>
        <sz val="11"/>
        <color theme="1"/>
        <rFont val="Aptos Narrow"/>
        <family val="2"/>
        <scheme val="minor"/>
      </rPr>
      <t>.</t>
    </r>
  </si>
  <si>
    <r>
      <t>Top connector fails moment</t>
    </r>
    <r>
      <rPr>
        <sz val="11"/>
        <color theme="1"/>
        <rFont val="Aptos Narrow"/>
        <family val="2"/>
        <scheme val="minor"/>
      </rPr>
      <t xml:space="preserve"> → reduce </t>
    </r>
    <r>
      <rPr>
        <b/>
        <sz val="11"/>
        <color theme="1"/>
        <rFont val="Aptos Narrow"/>
        <family val="2"/>
        <scheme val="minor"/>
      </rPr>
      <t>post_to_beam_arm_in</t>
    </r>
    <r>
      <rPr>
        <sz val="11"/>
        <color theme="1"/>
        <rFont val="Aptos Narrow"/>
        <family val="2"/>
        <scheme val="minor"/>
      </rPr>
      <t xml:space="preserve">, add </t>
    </r>
    <r>
      <rPr>
        <b/>
        <sz val="11"/>
        <color theme="1"/>
        <rFont val="Aptos Narrow"/>
        <family val="2"/>
        <scheme val="minor"/>
      </rPr>
      <t>knee braces</t>
    </r>
    <r>
      <rPr>
        <sz val="11"/>
        <color theme="1"/>
        <rFont val="Aptos Narrow"/>
        <family val="2"/>
        <scheme val="minor"/>
      </rPr>
      <t>, choose connector with moment rating.</t>
    </r>
  </si>
  <si>
    <r>
      <t>Top/base connector fails uplift/lateral</t>
    </r>
    <r>
      <rPr>
        <sz val="11"/>
        <color theme="1"/>
        <rFont val="Aptos Narrow"/>
        <family val="2"/>
        <scheme val="minor"/>
      </rPr>
      <t xml:space="preserve"> → stronger connectors, braces, reduce wind inputs or areas.</t>
    </r>
  </si>
  <si>
    <r>
      <t>Footing bearing fails</t>
    </r>
    <r>
      <rPr>
        <sz val="11"/>
        <color theme="1"/>
        <rFont val="Aptos Narrow"/>
        <family val="2"/>
        <scheme val="minor"/>
      </rPr>
      <t xml:space="preserve"> → larger </t>
    </r>
    <r>
      <rPr>
        <b/>
        <sz val="11"/>
        <color theme="1"/>
        <rFont val="Aptos Narrow"/>
        <family val="2"/>
        <scheme val="minor"/>
      </rPr>
      <t>L×W</t>
    </r>
    <r>
      <rPr>
        <sz val="11"/>
        <color theme="1"/>
        <rFont val="Aptos Narrow"/>
        <family val="2"/>
        <scheme val="minor"/>
      </rPr>
      <t xml:space="preserve"> or better soil; reduce reaction.</t>
    </r>
  </si>
  <si>
    <r>
      <t>Footing sliding fails</t>
    </r>
    <r>
      <rPr>
        <sz val="11"/>
        <color theme="1"/>
        <rFont val="Aptos Narrow"/>
        <family val="2"/>
        <scheme val="minor"/>
      </rPr>
      <t xml:space="preserve"> → heavier footing/overburden, higher μ, braces/dowels, reduce lateral.</t>
    </r>
  </si>
  <si>
    <r>
      <t>Footing uplift fails</t>
    </r>
    <r>
      <rPr>
        <sz val="11"/>
        <color theme="1"/>
        <rFont val="Aptos Narrow"/>
        <family val="2"/>
        <scheme val="minor"/>
      </rPr>
      <t xml:space="preserve"> → heavier footing/overburden, add hold-downs, reduce uplift inputs/area.</t>
    </r>
  </si>
  <si>
    <r>
      <t xml:space="preserve">If you tell me which line shows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 xml:space="preserve">, I’ll point to the </t>
    </r>
    <r>
      <rPr>
        <b/>
        <sz val="11"/>
        <color theme="1"/>
        <rFont val="Aptos Narrow"/>
        <family val="2"/>
        <scheme val="minor"/>
      </rPr>
      <t>single easiest change</t>
    </r>
    <r>
      <rPr>
        <sz val="11"/>
        <color theme="1"/>
        <rFont val="Aptos Narrow"/>
        <family val="2"/>
        <scheme val="minor"/>
      </rPr>
      <t xml:space="preserve"> (e.g., “go from 6×8 to 6×10” or “bump footing to 24×24×12 and include 12 in overburden”) to flip it to </t>
    </r>
    <r>
      <rPr>
        <b/>
        <sz val="11"/>
        <color theme="1"/>
        <rFont val="Aptos Narrow"/>
        <family val="2"/>
        <scheme val="minor"/>
      </rPr>
      <t>PASS</t>
    </r>
    <r>
      <rPr>
        <sz val="11"/>
        <color theme="1"/>
        <rFont val="Aptos Narrow"/>
        <family val="2"/>
        <scheme val="minor"/>
      </rPr>
      <t>.</t>
    </r>
  </si>
  <si>
    <t>Footing A=1.000 ft², Vconc=0.000 ft³, W_footing=0.0 lb, W_overburden=240.0 lb (include=True)</t>
  </si>
  <si>
    <t>Uplift: U=0 lb vs (W_footing+W_overburden+credit)/SF=(0+240+0)/1.50=160 lb -&gt; PASS</t>
  </si>
  <si>
    <t>joist_span_left_ft</t>
  </si>
  <si>
    <t>joist_span_right_ft</t>
  </si>
  <si>
    <t>overhang_outboard_ft</t>
  </si>
  <si>
    <t>is_edge_beam</t>
  </si>
  <si>
    <t>* Edge beam -&gt; TRUE, Middle beam -&gt; FALSE</t>
  </si>
  <si>
    <t>Total roof dead weight</t>
  </si>
  <si>
    <t>Roof plan size (L)</t>
  </si>
  <si>
    <t>Roof plan size (W)</t>
  </si>
  <si>
    <t>Roof plan size (area)</t>
  </si>
  <si>
    <t>Total span</t>
  </si>
  <si>
    <t>S = b d² / 6 = 6.000×10.000²/6 = 100.000 in³</t>
  </si>
  <si>
    <t>I = b d³ / 12 = 6.000×10.000³/12 = 500.000 in⁴</t>
  </si>
  <si>
    <t>Bending:   PASS</t>
  </si>
  <si>
    <t>Deflection:PASS</t>
  </si>
  <si>
    <t>Lateral 'span_long_for_depth_watch_deflection': OK</t>
  </si>
  <si>
    <r>
      <t xml:space="preserve">Here’s what each </t>
    </r>
    <r>
      <rPr>
        <b/>
        <sz val="11"/>
        <color theme="1"/>
        <rFont val="Aptos Narrow"/>
        <family val="2"/>
        <scheme val="minor"/>
      </rPr>
      <t>Results</t>
    </r>
    <r>
      <rPr>
        <sz val="11"/>
        <color theme="1"/>
        <rFont val="Aptos Narrow"/>
        <family val="2"/>
        <scheme val="minor"/>
      </rPr>
      <t xml:space="preserve"> item means and, if it shows </t>
    </r>
    <r>
      <rPr>
        <b/>
        <sz val="11"/>
        <color theme="1"/>
        <rFont val="Aptos Narrow"/>
        <family val="2"/>
        <scheme val="minor"/>
      </rPr>
      <t>CHECK</t>
    </r>
    <r>
      <rPr>
        <sz val="11"/>
        <color theme="1"/>
        <rFont val="Aptos Narrow"/>
        <family val="2"/>
        <scheme val="minor"/>
      </rPr>
      <t>, what you can tweak to make it pass.</t>
    </r>
  </si>
  <si>
    <t>q = DL + SL + LL = 1.09375 + 30.0 + 10.0 = 41.094 psf</t>
  </si>
  <si>
    <t>w = q × tributary_width = 41.094 × 4.750 = 195.195 plf</t>
  </si>
  <si>
    <t>Material Strength table</t>
  </si>
  <si>
    <t>Material Strength Cedar Table</t>
  </si>
  <si>
    <t>Total Post height</t>
  </si>
  <si>
    <t>Knee brace position</t>
  </si>
  <si>
    <t>* How many feet below the beam</t>
  </si>
  <si>
    <t>Post unsupported height</t>
  </si>
  <si>
    <t>Mmax = w L² / 8 = 16.266 × 108.0² / 8 = 23716.2 lb·in</t>
  </si>
  <si>
    <t>Vmax = w_plf × L / 2 = 195.195 × 9.000 / 2 = 878.4 lb</t>
  </si>
  <si>
    <t>fb = M/S = 23716.2/100.000 = 237.2 psi  (Fb'=725)</t>
  </si>
  <si>
    <t>fv = 1.5V/(bd) = 1.5×878.4/(6.000×10.000) = 22.0 psi  (Fv'=155)</t>
  </si>
  <si>
    <t>bearing = R/A = 878.4/36.000 = 24.4 psi  (Fc⊥'=425)</t>
  </si>
  <si>
    <t>Δ = 5 w L⁴/(384 E I) = 0.052 in  (limit L/240 = 0.450 in)</t>
  </si>
  <si>
    <t>V_struct = Reaction(post) + Post self-weight = 878.4 + 0.0 = 878.4 lb</t>
  </si>
  <si>
    <t>Bearing: q_actual=878 psf vs q_allow_eff=1500 psf -&gt; PASS</t>
  </si>
  <si>
    <t>Sliding: H=0 lb vs μ·V_eff/SF=0.50·1118/1.50=373 lb -&gt;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</si>
</sst>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8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sz val="10"/>
      <color theme="1"/>
      <name val="Arial Unicode MS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1"/>
      <name val="Aptos Narrow"/>
      <family val="2"/>
      <scheme val="minor"/>
    </font>
    <font>
      <b/>
      <sz val="10"/>
      <color theme="1"/>
      <name val="Arial Unicode MS"/>
    </font>
    <font>
      <b/>
      <sz val="24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0" fillId="0" borderId="1" xfId="0" applyBorder="1"/>
    <xf numFmtId="0" fontId="0" fillId="2" borderId="1" xfId="0" applyFill="1" applyBorder="1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1" fillId="0" borderId="0" xfId="0" applyFont="1"/>
    <xf numFmtId="0" fontId="1" fillId="0" borderId="0" xfId="0" applyFont="1" applyAlignment="1">
      <alignment horizontal="left" vertical="center" indent="1"/>
    </xf>
    <xf numFmtId="0" fontId="7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2" fillId="0" borderId="0" xfId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6" fillId="0" borderId="0" xfId="0" applyFont="1" applyAlignment="1">
      <alignment horizontal="left" vertical="center" indent="2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wrapText="1"/>
    </xf>
    <xf numFmtId="0" fontId="0" fillId="3" borderId="1" xfId="0" applyFill="1" applyBorder="1"/>
    <xf numFmtId="0" fontId="0" fillId="0" borderId="0" xfId="0" applyAlignment="1">
      <alignment horizontal="left" vertical="center" indent="3"/>
    </xf>
    <xf numFmtId="0" fontId="1" fillId="0" borderId="0" xfId="0" applyFont="1" applyAlignment="1">
      <alignment horizontal="left" vertical="center" indent="2"/>
    </xf>
    <xf numFmtId="0" fontId="2" fillId="0" borderId="0" xfId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13" fillId="0" borderId="0" xfId="0" applyFont="1" applyAlignment="1">
      <alignment vertical="center"/>
    </xf>
    <xf numFmtId="0" fontId="0" fillId="2" borderId="2" xfId="0" applyFill="1" applyBorder="1"/>
    <xf numFmtId="3" fontId="0" fillId="0" borderId="0" xfId="0" applyNumberFormat="1"/>
    <xf numFmtId="0" fontId="0" fillId="4" borderId="1" xfId="0" applyFill="1" applyBorder="1" applyAlignment="1">
      <alignment vertical="center" wrapText="1"/>
    </xf>
    <xf numFmtId="0" fontId="0" fillId="3" borderId="0" xfId="0" applyFill="1"/>
    <xf numFmtId="0" fontId="0" fillId="2" borderId="0" xfId="0" applyFill="1"/>
    <xf numFmtId="0" fontId="0" fillId="4" borderId="0" xfId="0" applyFill="1"/>
    <xf numFmtId="0" fontId="0" fillId="0" borderId="0" xfId="0" applyFill="1" applyBorder="1"/>
    <xf numFmtId="0" fontId="14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251460</xdr:colOff>
          <xdr:row>1</xdr:row>
          <xdr:rowOff>38100</xdr:rowOff>
        </xdr:from>
        <xdr:to>
          <xdr:col>5</xdr:col>
          <xdr:colOff>335280</xdr:colOff>
          <xdr:row>5</xdr:row>
          <xdr:rowOff>144780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Get Result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realcedar.com/architects-builders/engineering-data/?utm_source=chatgpt.com" TargetMode="External"/><Relationship Id="rId7" Type="http://schemas.openxmlformats.org/officeDocument/2006/relationships/comments" Target="../comments1.xml"/><Relationship Id="rId2" Type="http://schemas.openxmlformats.org/officeDocument/2006/relationships/hyperlink" Target="https://bearcreeklumber.com/wp-content/uploads/2021/12/TN20US-Can20species.pdf?utm_source=chatgpt.com" TargetMode="External"/><Relationship Id="rId1" Type="http://schemas.openxmlformats.org/officeDocument/2006/relationships/hyperlink" Target="https://free.bcpublications.ca/civix/document/id/public/bcbc2018/bcbc_2018dbac?utm_source=chatgpt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nationaltimbergroup.com/app/uploads/2021/10/Windspeed-to-Pressure-conversion-chart-23.9.11.pdf?utm_source=chatgpt.com" TargetMode="External"/><Relationship Id="rId2" Type="http://schemas.openxmlformats.org/officeDocument/2006/relationships/hyperlink" Target="https://free.bcpublications.ca/civix/document/id/public/bcbc2018/bcbc_2018dbac?utm_source=chatgpt.com" TargetMode="External"/><Relationship Id="rId1" Type="http://schemas.openxmlformats.org/officeDocument/2006/relationships/hyperlink" Target="https://cssbi.ca/assets/resources/Design_Manuals/CSSBI-B15-17-lr.pdf?utm_source=chatgpt.com" TargetMode="External"/><Relationship Id="rId4" Type="http://schemas.openxmlformats.org/officeDocument/2006/relationships/hyperlink" Target="https://cssbi.ca/assets/resources/Design_Manuals/CSSBI-B15-17-lr.pdf?utm_source=chatgp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633F9-48C4-4FFB-B9AA-B218B0699126}">
  <sheetPr codeName="Sheet1"/>
  <dimension ref="A1:Q42"/>
  <sheetViews>
    <sheetView tabSelected="1" workbookViewId="0">
      <selection activeCell="H15" sqref="H15"/>
    </sheetView>
  </sheetViews>
  <sheetFormatPr defaultRowHeight="14.4"/>
  <cols>
    <col min="1" max="1" width="26.44140625" bestFit="1" customWidth="1"/>
    <col min="2" max="2" width="15.5546875" customWidth="1"/>
    <col min="3" max="3" width="39.6640625" style="9" bestFit="1" customWidth="1"/>
    <col min="4" max="4" width="28.88671875" customWidth="1"/>
    <col min="5" max="5" width="16.77734375" customWidth="1"/>
    <col min="6" max="6" width="11.44140625" customWidth="1"/>
    <col min="7" max="7" width="20.44140625" bestFit="1" customWidth="1"/>
    <col min="8" max="8" width="10.33203125" customWidth="1"/>
  </cols>
  <sheetData>
    <row r="1" spans="1:9">
      <c r="A1" s="1" t="s">
        <v>0</v>
      </c>
      <c r="B1" s="1" t="s">
        <v>1</v>
      </c>
    </row>
    <row r="2" spans="1:9">
      <c r="A2" s="2" t="s">
        <v>2</v>
      </c>
      <c r="B2" s="28">
        <f>H15/(H14-1)</f>
        <v>9</v>
      </c>
      <c r="C2" s="9" t="s">
        <v>84</v>
      </c>
      <c r="G2" s="12" t="s">
        <v>3</v>
      </c>
      <c r="H2" s="33">
        <f>IF(H6,H3/2+H5,((H3+H4)/2))</f>
        <v>4.75</v>
      </c>
    </row>
    <row r="3" spans="1:9">
      <c r="A3" s="2" t="s">
        <v>3</v>
      </c>
      <c r="B3" s="28">
        <f>H2</f>
        <v>4.75</v>
      </c>
      <c r="C3" s="9" t="s">
        <v>84</v>
      </c>
      <c r="D3" s="16" t="s">
        <v>87</v>
      </c>
      <c r="G3" t="s">
        <v>555</v>
      </c>
      <c r="H3" s="34">
        <v>7.5</v>
      </c>
    </row>
    <row r="4" spans="1:9">
      <c r="A4" s="2" t="s">
        <v>4</v>
      </c>
      <c r="B4" s="3">
        <v>6</v>
      </c>
      <c r="C4" s="9" t="s">
        <v>84</v>
      </c>
      <c r="G4" t="s">
        <v>556</v>
      </c>
      <c r="H4" s="34">
        <v>7.5</v>
      </c>
    </row>
    <row r="5" spans="1:9">
      <c r="A5" s="2" t="s">
        <v>5</v>
      </c>
      <c r="B5" s="3">
        <v>10</v>
      </c>
      <c r="C5" s="9" t="s">
        <v>84</v>
      </c>
      <c r="G5" t="s">
        <v>557</v>
      </c>
      <c r="H5" s="34">
        <v>1</v>
      </c>
    </row>
    <row r="6" spans="1:9">
      <c r="A6" s="2" t="s">
        <v>6</v>
      </c>
      <c r="B6" s="28">
        <f>IF(B19="Yes",H19*12,H17)</f>
        <v>96</v>
      </c>
      <c r="C6" s="9" t="s">
        <v>84</v>
      </c>
      <c r="G6" t="s">
        <v>558</v>
      </c>
      <c r="H6" s="34" t="b">
        <v>1</v>
      </c>
      <c r="I6" s="37" t="s">
        <v>559</v>
      </c>
    </row>
    <row r="7" spans="1:9">
      <c r="A7" s="2" t="s">
        <v>7</v>
      </c>
      <c r="B7" s="3">
        <v>36</v>
      </c>
      <c r="C7" s="9" t="s">
        <v>84</v>
      </c>
    </row>
    <row r="8" spans="1:9">
      <c r="A8" s="2" t="s">
        <v>8</v>
      </c>
      <c r="B8" s="32">
        <v>725</v>
      </c>
      <c r="C8" s="9" t="s">
        <v>85</v>
      </c>
      <c r="D8" s="20" t="s">
        <v>573</v>
      </c>
      <c r="G8" s="12" t="s">
        <v>12</v>
      </c>
      <c r="H8" s="33">
        <f>H9/H12</f>
        <v>1.09375</v>
      </c>
    </row>
    <row r="9" spans="1:9">
      <c r="A9" s="2" t="s">
        <v>9</v>
      </c>
      <c r="B9" s="32">
        <v>155</v>
      </c>
      <c r="C9" s="9" t="s">
        <v>85</v>
      </c>
      <c r="D9" s="20" t="s">
        <v>574</v>
      </c>
      <c r="G9" t="s">
        <v>560</v>
      </c>
      <c r="H9" s="34">
        <v>350</v>
      </c>
    </row>
    <row r="10" spans="1:9">
      <c r="A10" s="2" t="s">
        <v>10</v>
      </c>
      <c r="B10" s="32">
        <v>425</v>
      </c>
      <c r="C10" s="9" t="s">
        <v>85</v>
      </c>
      <c r="G10" t="s">
        <v>561</v>
      </c>
      <c r="H10" s="34">
        <v>16</v>
      </c>
    </row>
    <row r="11" spans="1:9">
      <c r="A11" s="2" t="s">
        <v>11</v>
      </c>
      <c r="B11" s="32">
        <v>1100000</v>
      </c>
      <c r="C11" s="9" t="s">
        <v>85</v>
      </c>
      <c r="G11" t="s">
        <v>562</v>
      </c>
      <c r="H11" s="34">
        <v>20</v>
      </c>
    </row>
    <row r="12" spans="1:9">
      <c r="A12" s="2" t="s">
        <v>12</v>
      </c>
      <c r="B12" s="32">
        <f>H8</f>
        <v>1.09375</v>
      </c>
      <c r="C12" s="9" t="s">
        <v>86</v>
      </c>
      <c r="D12" s="16" t="s">
        <v>88</v>
      </c>
      <c r="G12" t="s">
        <v>563</v>
      </c>
      <c r="H12" s="35">
        <f>H10*H11</f>
        <v>320</v>
      </c>
    </row>
    <row r="13" spans="1:9">
      <c r="A13" s="2" t="s">
        <v>13</v>
      </c>
      <c r="B13" s="3">
        <v>30</v>
      </c>
      <c r="C13" s="9" t="s">
        <v>86</v>
      </c>
    </row>
    <row r="14" spans="1:9">
      <c r="A14" s="2" t="s">
        <v>14</v>
      </c>
      <c r="B14" s="3">
        <v>10</v>
      </c>
      <c r="C14" s="9" t="s">
        <v>86</v>
      </c>
      <c r="G14" t="s">
        <v>303</v>
      </c>
      <c r="H14" s="34">
        <v>3</v>
      </c>
    </row>
    <row r="15" spans="1:9">
      <c r="A15" s="2" t="s">
        <v>15</v>
      </c>
      <c r="B15" s="3">
        <v>240</v>
      </c>
      <c r="C15" s="9" t="s">
        <v>86</v>
      </c>
      <c r="G15" t="s">
        <v>564</v>
      </c>
      <c r="H15" s="34">
        <v>18</v>
      </c>
    </row>
    <row r="16" spans="1:9">
      <c r="A16" s="2" t="s">
        <v>16</v>
      </c>
      <c r="B16" s="3">
        <v>825</v>
      </c>
      <c r="C16" s="9" t="s">
        <v>158</v>
      </c>
      <c r="D16" s="16" t="s">
        <v>199</v>
      </c>
    </row>
    <row r="17" spans="1:17">
      <c r="A17" s="2" t="s">
        <v>17</v>
      </c>
      <c r="B17" s="3">
        <v>6</v>
      </c>
      <c r="C17" s="9" t="s">
        <v>158</v>
      </c>
      <c r="G17" t="s">
        <v>575</v>
      </c>
      <c r="H17" s="34">
        <v>96</v>
      </c>
    </row>
    <row r="18" spans="1:17">
      <c r="A18" s="2" t="s">
        <v>18</v>
      </c>
      <c r="B18" s="3">
        <v>6</v>
      </c>
      <c r="C18" s="9" t="s">
        <v>158</v>
      </c>
      <c r="G18" t="s">
        <v>576</v>
      </c>
      <c r="H18" s="34">
        <v>2</v>
      </c>
      <c r="I18" s="37" t="s">
        <v>577</v>
      </c>
    </row>
    <row r="19" spans="1:17">
      <c r="A19" s="2" t="s">
        <v>19</v>
      </c>
      <c r="B19" s="3" t="s">
        <v>20</v>
      </c>
      <c r="C19" s="9" t="s">
        <v>200</v>
      </c>
      <c r="G19" t="s">
        <v>578</v>
      </c>
      <c r="H19" s="33">
        <f>H17/12-H18</f>
        <v>6</v>
      </c>
    </row>
    <row r="20" spans="1:17">
      <c r="A20" s="2" t="s">
        <v>21</v>
      </c>
      <c r="B20" s="3" t="s">
        <v>201</v>
      </c>
      <c r="C20" s="9" t="s">
        <v>200</v>
      </c>
    </row>
    <row r="21" spans="1:17" ht="28.8">
      <c r="A21" s="2" t="s">
        <v>22</v>
      </c>
      <c r="B21" s="3" t="s">
        <v>201</v>
      </c>
      <c r="C21" s="9" t="s">
        <v>200</v>
      </c>
    </row>
    <row r="22" spans="1:17">
      <c r="A22" s="4" t="s">
        <v>23</v>
      </c>
      <c r="B22" s="5" t="s">
        <v>40</v>
      </c>
      <c r="C22" s="9" t="s">
        <v>202</v>
      </c>
    </row>
    <row r="23" spans="1:17">
      <c r="A23" s="4" t="s">
        <v>24</v>
      </c>
      <c r="B23" s="5" t="s">
        <v>45</v>
      </c>
      <c r="C23" s="9" t="s">
        <v>202</v>
      </c>
    </row>
    <row r="24" spans="1:17">
      <c r="A24" s="4" t="s">
        <v>28</v>
      </c>
      <c r="B24" s="24">
        <f>MAX(0, -Q26)</f>
        <v>0</v>
      </c>
      <c r="C24" s="9" t="s">
        <v>203</v>
      </c>
      <c r="D24" s="20" t="s">
        <v>204</v>
      </c>
      <c r="E24" s="19" t="s">
        <v>205</v>
      </c>
    </row>
    <row r="25" spans="1:17" s="8" customFormat="1" ht="144.6" thickBot="1">
      <c r="A25" s="2" t="s">
        <v>29</v>
      </c>
      <c r="B25" s="28">
        <f>F30/G30</f>
        <v>14.25</v>
      </c>
      <c r="C25" s="6" t="s">
        <v>203</v>
      </c>
      <c r="D25" s="27" t="s">
        <v>300</v>
      </c>
      <c r="E25" s="8" t="s">
        <v>251</v>
      </c>
      <c r="F25" s="8" t="s">
        <v>252</v>
      </c>
      <c r="G25" s="8" t="s">
        <v>253</v>
      </c>
      <c r="H25" s="23" t="s">
        <v>254</v>
      </c>
      <c r="I25" s="23" t="s">
        <v>255</v>
      </c>
      <c r="J25" s="23" t="s">
        <v>256</v>
      </c>
      <c r="K25" s="23" t="s">
        <v>257</v>
      </c>
      <c r="L25" s="23" t="s">
        <v>258</v>
      </c>
      <c r="M25" s="23" t="s">
        <v>259</v>
      </c>
      <c r="N25" s="8" t="s">
        <v>260</v>
      </c>
      <c r="O25" s="8" t="s">
        <v>261</v>
      </c>
      <c r="P25" s="8" t="s">
        <v>262</v>
      </c>
      <c r="Q25" s="8" t="s">
        <v>263</v>
      </c>
    </row>
    <row r="26" spans="1:17" ht="15" thickBot="1">
      <c r="A26" s="4" t="s">
        <v>25</v>
      </c>
      <c r="B26" s="24">
        <f>I28*G26</f>
        <v>7.1844400000000013</v>
      </c>
      <c r="C26" s="9" t="s">
        <v>203</v>
      </c>
      <c r="D26" s="20" t="s">
        <v>339</v>
      </c>
      <c r="E26" s="30">
        <v>0.43</v>
      </c>
      <c r="F26">
        <v>1</v>
      </c>
      <c r="G26">
        <f>B28</f>
        <v>0.5</v>
      </c>
      <c r="H26">
        <v>1</v>
      </c>
      <c r="I26">
        <v>2</v>
      </c>
      <c r="J26">
        <v>0.5</v>
      </c>
      <c r="K26">
        <v>1</v>
      </c>
      <c r="L26">
        <v>2</v>
      </c>
      <c r="M26">
        <v>0.15</v>
      </c>
      <c r="N26">
        <f>F26*E26*G26*H26*I26*J26</f>
        <v>0.215</v>
      </c>
      <c r="O26">
        <f>F26*E26*K26*H26*L26*M26</f>
        <v>0.129</v>
      </c>
      <c r="P26">
        <f>N26-O26</f>
        <v>8.5999999999999993E-2</v>
      </c>
      <c r="Q26">
        <f>P26*20.885</f>
        <v>1.7961100000000001</v>
      </c>
    </row>
    <row r="27" spans="1:17" ht="28.8">
      <c r="A27" s="4" t="s">
        <v>26</v>
      </c>
      <c r="B27" s="24">
        <f>I28*G26</f>
        <v>7.1844400000000013</v>
      </c>
      <c r="C27" s="9" t="s">
        <v>203</v>
      </c>
      <c r="D27" s="16" t="s">
        <v>340</v>
      </c>
      <c r="E27" t="s">
        <v>342</v>
      </c>
      <c r="F27" t="s">
        <v>343</v>
      </c>
      <c r="G27" t="s">
        <v>344</v>
      </c>
      <c r="H27" t="s">
        <v>345</v>
      </c>
      <c r="I27" s="23" t="s">
        <v>346</v>
      </c>
    </row>
    <row r="28" spans="1:17">
      <c r="A28" s="4" t="s">
        <v>27</v>
      </c>
      <c r="B28" s="5">
        <v>0.5</v>
      </c>
      <c r="C28" s="9" t="s">
        <v>203</v>
      </c>
      <c r="E28">
        <v>1</v>
      </c>
      <c r="F28">
        <v>1</v>
      </c>
      <c r="G28">
        <v>0.8</v>
      </c>
      <c r="H28">
        <f>E26*20.885</f>
        <v>8.9805500000000009</v>
      </c>
      <c r="I28">
        <f>H28*E28*F28*I26*G28</f>
        <v>14.368880000000003</v>
      </c>
    </row>
    <row r="29" spans="1:17" ht="43.2">
      <c r="A29" s="4" t="s">
        <v>30</v>
      </c>
      <c r="B29" s="24">
        <f>IF(B19="Yes", 0, 3)</f>
        <v>3</v>
      </c>
      <c r="C29" s="9" t="s">
        <v>203</v>
      </c>
      <c r="D29" s="16" t="s">
        <v>341</v>
      </c>
      <c r="E29" t="s">
        <v>301</v>
      </c>
      <c r="F29" s="23" t="s">
        <v>302</v>
      </c>
      <c r="G29" t="s">
        <v>303</v>
      </c>
    </row>
    <row r="30" spans="1:17">
      <c r="A30" s="4" t="s">
        <v>407</v>
      </c>
      <c r="B30" s="5">
        <v>12</v>
      </c>
      <c r="C30" s="9" t="s">
        <v>413</v>
      </c>
      <c r="E30">
        <f>B3</f>
        <v>4.75</v>
      </c>
      <c r="F30">
        <f>E30*B2</f>
        <v>42.75</v>
      </c>
      <c r="G30" s="36">
        <f>H14</f>
        <v>3</v>
      </c>
    </row>
    <row r="31" spans="1:17">
      <c r="A31" s="4" t="s">
        <v>408</v>
      </c>
      <c r="B31" s="5">
        <v>12</v>
      </c>
      <c r="C31" s="9" t="s">
        <v>413</v>
      </c>
    </row>
    <row r="32" spans="1:17">
      <c r="A32" s="4" t="s">
        <v>409</v>
      </c>
      <c r="B32" s="5">
        <v>6</v>
      </c>
      <c r="C32" s="9" t="s">
        <v>413</v>
      </c>
    </row>
    <row r="33" spans="1:3">
      <c r="A33" s="4" t="s">
        <v>410</v>
      </c>
      <c r="B33" s="5">
        <v>24</v>
      </c>
      <c r="C33" s="9" t="s">
        <v>413</v>
      </c>
    </row>
    <row r="34" spans="1:3">
      <c r="A34" s="4" t="s">
        <v>411</v>
      </c>
      <c r="B34" s="5">
        <v>1500</v>
      </c>
      <c r="C34" s="9" t="s">
        <v>414</v>
      </c>
    </row>
    <row r="35" spans="1:3">
      <c r="A35" s="4" t="s">
        <v>412</v>
      </c>
      <c r="B35" s="5">
        <v>120</v>
      </c>
      <c r="C35" s="9" t="s">
        <v>414</v>
      </c>
    </row>
    <row r="36" spans="1:3">
      <c r="A36" s="4" t="s">
        <v>424</v>
      </c>
      <c r="B36" s="5">
        <v>150</v>
      </c>
      <c r="C36" s="9" t="s">
        <v>414</v>
      </c>
    </row>
    <row r="37" spans="1:3">
      <c r="A37" s="4" t="s">
        <v>415</v>
      </c>
      <c r="B37" s="5">
        <v>0.5</v>
      </c>
      <c r="C37" s="9" t="s">
        <v>419</v>
      </c>
    </row>
    <row r="38" spans="1:3">
      <c r="A38" s="4" t="s">
        <v>416</v>
      </c>
      <c r="B38" s="5">
        <v>1</v>
      </c>
      <c r="C38" s="9" t="s">
        <v>419</v>
      </c>
    </row>
    <row r="39" spans="1:3">
      <c r="A39" s="4" t="s">
        <v>417</v>
      </c>
      <c r="B39" s="5">
        <v>1.5</v>
      </c>
      <c r="C39" s="9" t="s">
        <v>419</v>
      </c>
    </row>
    <row r="40" spans="1:3">
      <c r="A40" s="4" t="s">
        <v>418</v>
      </c>
      <c r="B40" s="5">
        <v>1.5</v>
      </c>
      <c r="C40" s="9" t="s">
        <v>419</v>
      </c>
    </row>
    <row r="41" spans="1:3">
      <c r="A41" s="4" t="s">
        <v>420</v>
      </c>
      <c r="B41" s="5">
        <v>0</v>
      </c>
      <c r="C41" s="9" t="s">
        <v>421</v>
      </c>
    </row>
    <row r="42" spans="1:3">
      <c r="A42" s="4" t="s">
        <v>423</v>
      </c>
      <c r="B42" s="5" t="s">
        <v>201</v>
      </c>
      <c r="C42" s="9" t="s">
        <v>422</v>
      </c>
    </row>
  </sheetData>
  <dataValidations count="2">
    <dataValidation type="list" allowBlank="1" showInputMessage="1" showErrorMessage="1" sqref="B19:B21 B42" xr:uid="{1551ED35-6905-4C56-820C-6CACF770B89F}">
      <formula1>"Yes, No"</formula1>
    </dataValidation>
    <dataValidation type="list" allowBlank="1" showInputMessage="1" showErrorMessage="1" sqref="H6" xr:uid="{3F0F1CFA-D198-449C-AB6A-366F5260A29F}">
      <formula1>"TRUE, FALSE"</formula1>
    </dataValidation>
  </dataValidations>
  <hyperlinks>
    <hyperlink ref="D3" location="tributary_width_ft!A1" display="Explain" xr:uid="{2F48F2CB-DEC6-4050-8483-2C05C2D9BAED}"/>
    <hyperlink ref="D12" location="psf!A1" display="Explain PSF" xr:uid="{1969FC9A-2BDE-43B9-9EEB-80B0B1EFE68C}"/>
    <hyperlink ref="D16" location="Fc_axis_prime!A1" display="Explain Fc axis prime" xr:uid="{BC02BA44-0455-4ABB-803B-889CC5F3B18F}"/>
    <hyperlink ref="D24" r:id="rId1" xr:uid="{71F44CEB-3E57-4D60-B15E-42CA5BD79D83}"/>
    <hyperlink ref="E24" location="roof_uplift_psf!A1" display="Calculate Roof Uplift PSF" xr:uid="{5DB3F197-9B4F-42B3-8871-6196CB92D600}"/>
    <hyperlink ref="D25" location="uplift_area_per_post_ft2!A1" display="Explain uplift_area_per_post_ft2" xr:uid="{75143566-EF3A-4B1F-91FE-6C85134087C5}"/>
    <hyperlink ref="D26" location="lateral_line_load_plf!A1" display="Explain lateral_line_load_plf" xr:uid="{2A1C4B47-1260-4690-939F-3F278D1CD9CD}"/>
    <hyperlink ref="D27" location="wind_wall_psf!A1" display="Explain wind_wall_psf" xr:uid="{FC27B91C-409C-4931-B719-1EF55D7B4476}"/>
    <hyperlink ref="D29" location="post_to_beam_arm_in!A1" display="Explain post_to_beam_arm_in" xr:uid="{144B0436-F325-4040-BA8A-AC7CF787BC93}"/>
    <hyperlink ref="D8" r:id="rId2" xr:uid="{7F339161-420A-4BE1-8042-E5832E1230FD}"/>
    <hyperlink ref="D9" r:id="rId3" xr:uid="{05BA0B05-7924-4B2C-9760-388FB1F208F7}"/>
  </hyperlinks>
  <pageMargins left="0.7" right="0.7" top="0.75" bottom="0.75" header="0.3" footer="0.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6" name="Button 33">
              <controlPr defaultSize="0" print="0" autoFill="0" autoPict="0" macro="[0]!Run_Deck_Screening_Shell">
                <anchor moveWithCells="1" sizeWithCells="1">
                  <from>
                    <xdr:col>4</xdr:col>
                    <xdr:colOff>251460</xdr:colOff>
                    <xdr:row>1</xdr:row>
                    <xdr:rowOff>38100</xdr:rowOff>
                  </from>
                  <to>
                    <xdr:col>5</xdr:col>
                    <xdr:colOff>335280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E508F-711A-4B7E-AB27-40C599ABBE64}">
  <sheetPr codeName="Sheet2"/>
  <dimension ref="A1:F9"/>
  <sheetViews>
    <sheetView workbookViewId="0">
      <selection activeCell="B5" sqref="B5"/>
    </sheetView>
  </sheetViews>
  <sheetFormatPr defaultRowHeight="14.4"/>
  <cols>
    <col min="2" max="2" width="19.109375" bestFit="1" customWidth="1"/>
    <col min="3" max="3" width="19.6640625" bestFit="1" customWidth="1"/>
    <col min="4" max="4" width="15.77734375" bestFit="1" customWidth="1"/>
    <col min="5" max="5" width="16.88671875" bestFit="1" customWidth="1"/>
    <col min="6" max="6" width="20.77734375" bestFit="1" customWidth="1"/>
  </cols>
  <sheetData>
    <row r="1" spans="1:6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</row>
    <row r="2" spans="1:6">
      <c r="A2" t="s">
        <v>37</v>
      </c>
      <c r="B2" t="s">
        <v>38</v>
      </c>
      <c r="C2">
        <v>4000</v>
      </c>
      <c r="D2">
        <v>900</v>
      </c>
      <c r="E2">
        <v>600</v>
      </c>
      <c r="F2">
        <v>0</v>
      </c>
    </row>
    <row r="3" spans="1:6">
      <c r="A3" t="s">
        <v>37</v>
      </c>
      <c r="B3" t="s">
        <v>39</v>
      </c>
      <c r="C3">
        <v>1800</v>
      </c>
      <c r="D3">
        <v>350</v>
      </c>
      <c r="E3">
        <v>450</v>
      </c>
      <c r="F3">
        <v>0</v>
      </c>
    </row>
    <row r="4" spans="1:6">
      <c r="A4" t="s">
        <v>37</v>
      </c>
      <c r="B4" t="s">
        <v>40</v>
      </c>
      <c r="C4">
        <v>2585</v>
      </c>
      <c r="D4">
        <v>2585</v>
      </c>
      <c r="E4">
        <v>815</v>
      </c>
      <c r="F4">
        <v>0</v>
      </c>
    </row>
    <row r="6" spans="1:6">
      <c r="A6" t="s">
        <v>31</v>
      </c>
      <c r="B6" t="s">
        <v>32</v>
      </c>
      <c r="C6" t="s">
        <v>41</v>
      </c>
      <c r="D6" t="s">
        <v>34</v>
      </c>
    </row>
    <row r="7" spans="1:6">
      <c r="A7" t="s">
        <v>42</v>
      </c>
      <c r="B7" t="s">
        <v>43</v>
      </c>
      <c r="C7">
        <v>1200</v>
      </c>
      <c r="D7">
        <v>1100</v>
      </c>
    </row>
    <row r="8" spans="1:6">
      <c r="A8" t="s">
        <v>42</v>
      </c>
      <c r="B8" t="s">
        <v>44</v>
      </c>
      <c r="C8">
        <v>1800</v>
      </c>
      <c r="D8">
        <v>1500</v>
      </c>
    </row>
    <row r="9" spans="1:6">
      <c r="A9" t="s">
        <v>42</v>
      </c>
      <c r="B9" t="s">
        <v>45</v>
      </c>
      <c r="C9">
        <v>11450</v>
      </c>
      <c r="D9">
        <v>1260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A2FC8-B057-43FC-A0B1-F820B167C37B}">
  <sheetPr codeName="Sheet3"/>
  <dimension ref="A1:G221"/>
  <sheetViews>
    <sheetView workbookViewId="0">
      <selection activeCell="C10" sqref="C10"/>
    </sheetView>
  </sheetViews>
  <sheetFormatPr defaultRowHeight="14.4"/>
  <cols>
    <col min="1" max="1" width="77.21875" bestFit="1" customWidth="1"/>
    <col min="2" max="2" width="23.6640625" bestFit="1" customWidth="1"/>
    <col min="3" max="3" width="16.5546875" bestFit="1" customWidth="1"/>
    <col min="4" max="4" width="12" bestFit="1" customWidth="1"/>
    <col min="5" max="5" width="6" bestFit="1" customWidth="1"/>
  </cols>
  <sheetData>
    <row r="1" spans="1:7" ht="23.4">
      <c r="A1" s="12" t="s">
        <v>425</v>
      </c>
      <c r="G1" s="10"/>
    </row>
    <row r="3" spans="1:7">
      <c r="A3" s="12" t="s">
        <v>426</v>
      </c>
      <c r="B3" t="s">
        <v>427</v>
      </c>
      <c r="C3" t="s">
        <v>428</v>
      </c>
      <c r="G3" s="12"/>
    </row>
    <row r="4" spans="1:7">
      <c r="A4" t="s">
        <v>429</v>
      </c>
      <c r="B4">
        <v>195.2</v>
      </c>
      <c r="G4" s="11"/>
    </row>
    <row r="5" spans="1:7">
      <c r="A5" t="s">
        <v>430</v>
      </c>
      <c r="B5" s="31">
        <v>878</v>
      </c>
      <c r="G5" s="11"/>
    </row>
    <row r="6" spans="1:7">
      <c r="A6" t="s">
        <v>431</v>
      </c>
      <c r="B6" s="31">
        <v>237</v>
      </c>
      <c r="C6" t="s">
        <v>433</v>
      </c>
      <c r="G6" s="11"/>
    </row>
    <row r="7" spans="1:7">
      <c r="A7" t="s">
        <v>432</v>
      </c>
      <c r="B7">
        <v>22</v>
      </c>
      <c r="C7" t="s">
        <v>433</v>
      </c>
      <c r="G7" s="11"/>
    </row>
    <row r="8" spans="1:7">
      <c r="A8" t="s">
        <v>434</v>
      </c>
      <c r="B8">
        <v>24</v>
      </c>
      <c r="C8" t="s">
        <v>433</v>
      </c>
    </row>
    <row r="9" spans="1:7">
      <c r="A9" t="s">
        <v>435</v>
      </c>
      <c r="B9">
        <v>5.1999999999999998E-2</v>
      </c>
      <c r="G9" s="12"/>
    </row>
    <row r="10" spans="1:7">
      <c r="A10" t="s">
        <v>436</v>
      </c>
      <c r="B10">
        <v>0.45</v>
      </c>
      <c r="C10" t="s">
        <v>433</v>
      </c>
      <c r="G10" s="11"/>
    </row>
    <row r="11" spans="1:7">
      <c r="A11" t="s">
        <v>437</v>
      </c>
      <c r="B11" t="s">
        <v>438</v>
      </c>
      <c r="C11" t="s">
        <v>439</v>
      </c>
      <c r="G11" s="11"/>
    </row>
    <row r="12" spans="1:7">
      <c r="A12" t="s">
        <v>440</v>
      </c>
      <c r="B12" t="s">
        <v>441</v>
      </c>
      <c r="G12" s="11"/>
    </row>
    <row r="13" spans="1:7">
      <c r="A13" t="s">
        <v>442</v>
      </c>
      <c r="B13" t="s">
        <v>441</v>
      </c>
      <c r="G13" s="11"/>
    </row>
    <row r="14" spans="1:7">
      <c r="A14" t="s">
        <v>443</v>
      </c>
      <c r="B14" t="s">
        <v>441</v>
      </c>
    </row>
    <row r="15" spans="1:7">
      <c r="G15" s="12"/>
    </row>
    <row r="16" spans="1:7">
      <c r="G16" s="11"/>
    </row>
    <row r="17" spans="1:7">
      <c r="A17" s="12" t="s">
        <v>444</v>
      </c>
      <c r="G17" s="11"/>
    </row>
    <row r="18" spans="1:7">
      <c r="G18" s="11"/>
    </row>
    <row r="19" spans="1:7">
      <c r="A19" t="s">
        <v>571</v>
      </c>
      <c r="G19" s="11"/>
    </row>
    <row r="20" spans="1:7">
      <c r="A20" t="s">
        <v>572</v>
      </c>
      <c r="G20" s="11"/>
    </row>
    <row r="21" spans="1:7">
      <c r="A21" t="s">
        <v>565</v>
      </c>
      <c r="G21" s="11"/>
    </row>
    <row r="22" spans="1:7">
      <c r="A22" t="s">
        <v>566</v>
      </c>
      <c r="G22" s="15"/>
    </row>
    <row r="23" spans="1:7">
      <c r="A23" t="s">
        <v>579</v>
      </c>
      <c r="G23" s="15"/>
    </row>
    <row r="24" spans="1:7">
      <c r="A24" t="s">
        <v>580</v>
      </c>
      <c r="G24" s="15"/>
    </row>
    <row r="25" spans="1:7">
      <c r="A25" t="s">
        <v>581</v>
      </c>
      <c r="G25" s="15"/>
    </row>
    <row r="26" spans="1:7">
      <c r="A26" t="s">
        <v>582</v>
      </c>
      <c r="G26" s="15"/>
    </row>
    <row r="27" spans="1:7">
      <c r="A27" t="s">
        <v>583</v>
      </c>
      <c r="G27" s="15"/>
    </row>
    <row r="28" spans="1:7">
      <c r="A28" t="s">
        <v>584</v>
      </c>
      <c r="G28" s="15"/>
    </row>
    <row r="29" spans="1:7">
      <c r="A29" t="s">
        <v>567</v>
      </c>
      <c r="G29" s="15"/>
    </row>
    <row r="30" spans="1:7">
      <c r="A30" t="s">
        <v>445</v>
      </c>
    </row>
    <row r="31" spans="1:7">
      <c r="A31" t="s">
        <v>446</v>
      </c>
      <c r="G31" s="12"/>
    </row>
    <row r="32" spans="1:7">
      <c r="A32" t="s">
        <v>568</v>
      </c>
      <c r="G32" s="11"/>
    </row>
    <row r="33" spans="1:7">
      <c r="A33" t="s">
        <v>447</v>
      </c>
      <c r="G33" s="11"/>
    </row>
    <row r="34" spans="1:7">
      <c r="A34" t="s">
        <v>448</v>
      </c>
      <c r="G34" s="11"/>
    </row>
    <row r="35" spans="1:7">
      <c r="A35" t="s">
        <v>449</v>
      </c>
      <c r="G35" s="11"/>
    </row>
    <row r="36" spans="1:7">
      <c r="A36" t="s">
        <v>569</v>
      </c>
      <c r="G36" s="11"/>
    </row>
    <row r="37" spans="1:7">
      <c r="G37" s="11"/>
    </row>
    <row r="38" spans="1:7">
      <c r="G38" s="15"/>
    </row>
    <row r="39" spans="1:7">
      <c r="G39" s="15"/>
    </row>
    <row r="40" spans="1:7">
      <c r="G40" s="15"/>
    </row>
    <row r="41" spans="1:7">
      <c r="G41" s="15"/>
    </row>
    <row r="42" spans="1:7">
      <c r="G42" s="15"/>
    </row>
    <row r="43" spans="1:7">
      <c r="G43" s="15"/>
    </row>
    <row r="44" spans="1:7">
      <c r="G44" s="15"/>
    </row>
    <row r="45" spans="1:7">
      <c r="G45" s="15"/>
    </row>
    <row r="47" spans="1:7">
      <c r="G47" s="12"/>
    </row>
    <row r="48" spans="1:7">
      <c r="G48" s="11"/>
    </row>
    <row r="49" spans="1:7">
      <c r="G49" s="11"/>
    </row>
    <row r="50" spans="1:7">
      <c r="A50" s="12" t="s">
        <v>450</v>
      </c>
      <c r="G50" s="11"/>
    </row>
    <row r="51" spans="1:7">
      <c r="A51" s="12" t="s">
        <v>451</v>
      </c>
      <c r="B51" t="s">
        <v>452</v>
      </c>
      <c r="C51" t="s">
        <v>453</v>
      </c>
      <c r="D51" t="s">
        <v>454</v>
      </c>
      <c r="E51" t="s">
        <v>428</v>
      </c>
      <c r="G51" s="11"/>
    </row>
    <row r="52" spans="1:7">
      <c r="A52" t="s">
        <v>38</v>
      </c>
      <c r="G52" s="11"/>
    </row>
    <row r="53" spans="1:7">
      <c r="A53" t="s">
        <v>455</v>
      </c>
      <c r="B53">
        <v>878.37890625</v>
      </c>
      <c r="C53">
        <v>4000</v>
      </c>
      <c r="D53">
        <v>0.21959472656250001</v>
      </c>
      <c r="E53" t="s">
        <v>433</v>
      </c>
      <c r="G53" s="11"/>
    </row>
    <row r="54" spans="1:7">
      <c r="A54" t="s">
        <v>456</v>
      </c>
      <c r="B54">
        <v>0</v>
      </c>
      <c r="C54">
        <v>900</v>
      </c>
      <c r="D54">
        <v>0</v>
      </c>
      <c r="E54" t="s">
        <v>433</v>
      </c>
      <c r="G54" s="15"/>
    </row>
    <row r="55" spans="1:7">
      <c r="A55" t="s">
        <v>457</v>
      </c>
      <c r="B55">
        <v>0</v>
      </c>
      <c r="C55">
        <v>600</v>
      </c>
      <c r="D55">
        <v>0</v>
      </c>
      <c r="E55" t="s">
        <v>433</v>
      </c>
      <c r="G55" s="15"/>
    </row>
    <row r="56" spans="1:7">
      <c r="A56" t="s">
        <v>458</v>
      </c>
      <c r="B56">
        <v>0</v>
      </c>
      <c r="C56">
        <v>0</v>
      </c>
      <c r="D56">
        <v>0</v>
      </c>
      <c r="E56" t="s">
        <v>433</v>
      </c>
      <c r="G56" s="15"/>
    </row>
    <row r="57" spans="1:7">
      <c r="G57" s="15"/>
    </row>
    <row r="58" spans="1:7">
      <c r="G58" s="15"/>
    </row>
    <row r="59" spans="1:7">
      <c r="A59" s="12" t="s">
        <v>459</v>
      </c>
      <c r="G59" s="15"/>
    </row>
    <row r="60" spans="1:7">
      <c r="A60" s="12" t="s">
        <v>451</v>
      </c>
      <c r="B60" t="s">
        <v>452</v>
      </c>
      <c r="C60" t="s">
        <v>453</v>
      </c>
      <c r="D60" t="s">
        <v>454</v>
      </c>
      <c r="E60" t="s">
        <v>428</v>
      </c>
    </row>
    <row r="61" spans="1:7">
      <c r="A61" t="s">
        <v>43</v>
      </c>
      <c r="G61" s="12"/>
    </row>
    <row r="62" spans="1:7">
      <c r="A62" t="s">
        <v>460</v>
      </c>
      <c r="B62">
        <v>0</v>
      </c>
      <c r="C62">
        <v>1200</v>
      </c>
      <c r="D62">
        <v>0</v>
      </c>
      <c r="E62" t="s">
        <v>433</v>
      </c>
      <c r="G62" s="11"/>
    </row>
    <row r="63" spans="1:7">
      <c r="A63" t="s">
        <v>456</v>
      </c>
      <c r="B63">
        <v>0</v>
      </c>
      <c r="C63">
        <v>1100</v>
      </c>
      <c r="D63">
        <v>0</v>
      </c>
      <c r="E63" t="s">
        <v>433</v>
      </c>
      <c r="G63" s="11"/>
    </row>
    <row r="64" spans="1:7">
      <c r="G64" s="11"/>
    </row>
    <row r="65" spans="1:7">
      <c r="G65" s="11"/>
    </row>
    <row r="66" spans="1:7">
      <c r="G66" s="11"/>
    </row>
    <row r="67" spans="1:7">
      <c r="G67" s="11"/>
    </row>
    <row r="68" spans="1:7">
      <c r="A68" s="12" t="s">
        <v>461</v>
      </c>
      <c r="G68" s="15"/>
    </row>
    <row r="69" spans="1:7">
      <c r="G69" s="15"/>
    </row>
    <row r="70" spans="1:7">
      <c r="A70" s="12" t="s">
        <v>426</v>
      </c>
      <c r="B70" t="s">
        <v>462</v>
      </c>
      <c r="C70" t="s">
        <v>463</v>
      </c>
      <c r="D70" t="s">
        <v>428</v>
      </c>
      <c r="G70" s="15"/>
    </row>
    <row r="71" spans="1:7">
      <c r="A71" t="s">
        <v>464</v>
      </c>
      <c r="B71">
        <v>878</v>
      </c>
      <c r="C71">
        <v>1500</v>
      </c>
      <c r="D71" t="s">
        <v>433</v>
      </c>
      <c r="G71" s="15"/>
    </row>
    <row r="72" spans="1:7">
      <c r="A72" t="s">
        <v>465</v>
      </c>
      <c r="B72">
        <v>0</v>
      </c>
      <c r="C72">
        <v>373</v>
      </c>
      <c r="D72" t="s">
        <v>433</v>
      </c>
      <c r="G72" s="15"/>
    </row>
    <row r="73" spans="1:7">
      <c r="A73" t="s">
        <v>466</v>
      </c>
      <c r="B73">
        <v>0</v>
      </c>
      <c r="C73">
        <v>160</v>
      </c>
      <c r="D73" t="s">
        <v>433</v>
      </c>
      <c r="G73" s="15"/>
    </row>
    <row r="74" spans="1:7">
      <c r="G74" s="15"/>
    </row>
    <row r="75" spans="1:7">
      <c r="A75" s="12" t="s">
        <v>467</v>
      </c>
      <c r="G75" s="15"/>
    </row>
    <row r="76" spans="1:7">
      <c r="A76" t="s">
        <v>553</v>
      </c>
    </row>
    <row r="77" spans="1:7">
      <c r="A77" t="s">
        <v>585</v>
      </c>
      <c r="G77" s="12"/>
    </row>
    <row r="78" spans="1:7">
      <c r="A78" t="s">
        <v>468</v>
      </c>
      <c r="G78" s="11"/>
    </row>
    <row r="79" spans="1:7">
      <c r="A79" t="s">
        <v>469</v>
      </c>
      <c r="G79" s="11"/>
    </row>
    <row r="80" spans="1:7">
      <c r="A80" t="s">
        <v>586</v>
      </c>
      <c r="G80" s="11"/>
    </row>
    <row r="81" spans="1:7">
      <c r="A81" t="s">
        <v>587</v>
      </c>
      <c r="G81" s="11"/>
    </row>
    <row r="82" spans="1:7">
      <c r="A82" t="s">
        <v>554</v>
      </c>
      <c r="G82" s="11"/>
    </row>
    <row r="83" spans="1:7">
      <c r="G83" s="11"/>
    </row>
    <row r="84" spans="1:7">
      <c r="G84" s="15"/>
    </row>
    <row r="85" spans="1:7">
      <c r="G85" s="15"/>
    </row>
    <row r="86" spans="1:7">
      <c r="G86" s="15"/>
    </row>
    <row r="87" spans="1:7">
      <c r="G87" s="15"/>
    </row>
    <row r="88" spans="1:7">
      <c r="G88" s="15"/>
    </row>
    <row r="89" spans="1:7">
      <c r="G89" s="15"/>
    </row>
    <row r="90" spans="1:7">
      <c r="G90" s="15"/>
    </row>
    <row r="91" spans="1:7">
      <c r="G91" s="15"/>
    </row>
    <row r="93" spans="1:7">
      <c r="G93" s="12"/>
    </row>
    <row r="94" spans="1:7">
      <c r="G94" s="11"/>
    </row>
    <row r="95" spans="1:7">
      <c r="G95" s="11"/>
    </row>
    <row r="96" spans="1:7">
      <c r="G96" s="11"/>
    </row>
    <row r="97" spans="7:7">
      <c r="G97" s="11"/>
    </row>
    <row r="98" spans="7:7">
      <c r="G98" s="11"/>
    </row>
    <row r="99" spans="7:7">
      <c r="G99" s="11"/>
    </row>
    <row r="100" spans="7:7">
      <c r="G100" s="15"/>
    </row>
    <row r="101" spans="7:7">
      <c r="G101" s="15"/>
    </row>
    <row r="102" spans="7:7">
      <c r="G102" s="15"/>
    </row>
    <row r="103" spans="7:7">
      <c r="G103" s="15"/>
    </row>
    <row r="104" spans="7:7">
      <c r="G104" s="15"/>
    </row>
    <row r="105" spans="7:7">
      <c r="G105" s="15"/>
    </row>
    <row r="109" spans="7:7" ht="23.4">
      <c r="G109" s="10"/>
    </row>
    <row r="111" spans="7:7">
      <c r="G111" s="12"/>
    </row>
    <row r="112" spans="7:7">
      <c r="G112" s="11"/>
    </row>
    <row r="113" spans="7:7">
      <c r="G113" s="13"/>
    </row>
    <row r="114" spans="7:7">
      <c r="G114" s="11"/>
    </row>
    <row r="115" spans="7:7">
      <c r="G115" s="11"/>
    </row>
    <row r="116" spans="7:7">
      <c r="G116" s="15"/>
    </row>
    <row r="117" spans="7:7">
      <c r="G117" s="15"/>
    </row>
    <row r="118" spans="7:7">
      <c r="G118" s="11"/>
    </row>
    <row r="119" spans="7:7">
      <c r="G119" s="13"/>
    </row>
    <row r="120" spans="7:7">
      <c r="G120" s="11"/>
    </row>
    <row r="121" spans="7:7">
      <c r="G121" s="11"/>
    </row>
    <row r="122" spans="7:7">
      <c r="G122" s="15"/>
    </row>
    <row r="123" spans="7:7">
      <c r="G123" s="15"/>
    </row>
    <row r="124" spans="7:7">
      <c r="G124" s="11"/>
    </row>
    <row r="125" spans="7:7">
      <c r="G125" s="13"/>
    </row>
    <row r="126" spans="7:7">
      <c r="G126" s="11"/>
    </row>
    <row r="127" spans="7:7">
      <c r="G127" s="11"/>
    </row>
    <row r="128" spans="7:7">
      <c r="G128" s="15"/>
    </row>
    <row r="129" spans="7:7">
      <c r="G129" s="15"/>
    </row>
    <row r="130" spans="7:7">
      <c r="G130" s="11"/>
    </row>
    <row r="131" spans="7:7">
      <c r="G131" s="13"/>
    </row>
    <row r="132" spans="7:7">
      <c r="G132" s="11"/>
    </row>
    <row r="133" spans="7:7">
      <c r="G133" s="11"/>
    </row>
    <row r="134" spans="7:7">
      <c r="G134" s="15"/>
    </row>
    <row r="135" spans="7:7">
      <c r="G135" s="15"/>
    </row>
    <row r="137" spans="7:7">
      <c r="G137" s="12"/>
    </row>
    <row r="138" spans="7:7">
      <c r="G138" s="11"/>
    </row>
    <row r="139" spans="7:7">
      <c r="G139" s="13"/>
    </row>
    <row r="140" spans="7:7">
      <c r="G140" s="11"/>
    </row>
    <row r="141" spans="7:7">
      <c r="G141" s="11"/>
    </row>
    <row r="142" spans="7:7">
      <c r="G142" s="15"/>
    </row>
    <row r="143" spans="7:7">
      <c r="G143" s="15"/>
    </row>
    <row r="144" spans="7:7">
      <c r="G144" s="11"/>
    </row>
    <row r="145" spans="7:7">
      <c r="G145" s="13"/>
    </row>
    <row r="146" spans="7:7">
      <c r="G146" s="11"/>
    </row>
    <row r="147" spans="7:7">
      <c r="G147" s="11"/>
    </row>
    <row r="148" spans="7:7">
      <c r="G148" s="15"/>
    </row>
    <row r="149" spans="7:7">
      <c r="G149" s="15"/>
    </row>
    <row r="153" spans="7:7" ht="23.4">
      <c r="G153" s="10"/>
    </row>
    <row r="155" spans="7:7">
      <c r="G155" s="12"/>
    </row>
    <row r="156" spans="7:7">
      <c r="G156" s="11"/>
    </row>
    <row r="157" spans="7:7">
      <c r="G157" s="11"/>
    </row>
    <row r="158" spans="7:7">
      <c r="G158" s="11"/>
    </row>
    <row r="159" spans="7:7">
      <c r="G159" s="11"/>
    </row>
    <row r="160" spans="7:7">
      <c r="G160" s="11"/>
    </row>
    <row r="161" spans="7:7">
      <c r="G161" s="11"/>
    </row>
    <row r="162" spans="7:7">
      <c r="G162" s="15"/>
    </row>
    <row r="163" spans="7:7">
      <c r="G163" s="15"/>
    </row>
    <row r="164" spans="7:7">
      <c r="G164" s="15"/>
    </row>
    <row r="165" spans="7:7">
      <c r="G165" s="15"/>
    </row>
    <row r="166" spans="7:7">
      <c r="G166" s="15"/>
    </row>
    <row r="167" spans="7:7">
      <c r="G167" s="15"/>
    </row>
    <row r="169" spans="7:7">
      <c r="G169" s="12"/>
    </row>
    <row r="170" spans="7:7">
      <c r="G170" s="11"/>
    </row>
    <row r="171" spans="7:7">
      <c r="G171" s="11"/>
    </row>
    <row r="172" spans="7:7">
      <c r="G172" s="11"/>
    </row>
    <row r="173" spans="7:7">
      <c r="G173" s="11"/>
    </row>
    <row r="174" spans="7:7">
      <c r="G174" s="11"/>
    </row>
    <row r="175" spans="7:7">
      <c r="G175" s="11"/>
    </row>
    <row r="176" spans="7:7">
      <c r="G176" s="15"/>
    </row>
    <row r="177" spans="7:7">
      <c r="G177" s="15"/>
    </row>
    <row r="178" spans="7:7">
      <c r="G178" s="15"/>
    </row>
    <row r="179" spans="7:7">
      <c r="G179" s="15"/>
    </row>
    <row r="180" spans="7:7">
      <c r="G180" s="15"/>
    </row>
    <row r="181" spans="7:7">
      <c r="G181" s="15"/>
    </row>
    <row r="182" spans="7:7">
      <c r="G182" s="15"/>
    </row>
    <row r="183" spans="7:7">
      <c r="G183" s="15"/>
    </row>
    <row r="185" spans="7:7">
      <c r="G185" s="12"/>
    </row>
    <row r="186" spans="7:7">
      <c r="G186" s="11"/>
    </row>
    <row r="187" spans="7:7">
      <c r="G187" s="11"/>
    </row>
    <row r="188" spans="7:7">
      <c r="G188" s="11"/>
    </row>
    <row r="189" spans="7:7">
      <c r="G189" s="11"/>
    </row>
    <row r="190" spans="7:7">
      <c r="G190" s="11"/>
    </row>
    <row r="191" spans="7:7">
      <c r="G191" s="11"/>
    </row>
    <row r="192" spans="7:7">
      <c r="G192" s="15"/>
    </row>
    <row r="193" spans="7:7">
      <c r="G193" s="15"/>
    </row>
    <row r="194" spans="7:7">
      <c r="G194" s="15"/>
    </row>
    <row r="195" spans="7:7">
      <c r="G195" s="26"/>
    </row>
    <row r="196" spans="7:7">
      <c r="G196" s="15"/>
    </row>
    <row r="197" spans="7:7">
      <c r="G197" s="15"/>
    </row>
    <row r="198" spans="7:7">
      <c r="G198" s="15"/>
    </row>
    <row r="199" spans="7:7">
      <c r="G199" s="15"/>
    </row>
    <row r="203" spans="7:7" ht="23.4">
      <c r="G203" s="10"/>
    </row>
    <row r="204" spans="7:7">
      <c r="G204" s="11"/>
    </row>
    <row r="205" spans="7:7">
      <c r="G205" s="13"/>
    </row>
    <row r="206" spans="7:7">
      <c r="G206" s="11"/>
    </row>
    <row r="207" spans="7:7">
      <c r="G207" s="13"/>
    </row>
    <row r="208" spans="7:7">
      <c r="G208" s="11"/>
    </row>
    <row r="209" spans="7:7">
      <c r="G209" s="13"/>
    </row>
    <row r="210" spans="7:7">
      <c r="G210" s="11"/>
    </row>
    <row r="211" spans="7:7">
      <c r="G211" s="13"/>
    </row>
    <row r="212" spans="7:7">
      <c r="G212" s="11"/>
    </row>
    <row r="213" spans="7:7">
      <c r="G213" s="13"/>
    </row>
    <row r="214" spans="7:7">
      <c r="G214" s="11"/>
    </row>
    <row r="215" spans="7:7">
      <c r="G215" s="13"/>
    </row>
    <row r="216" spans="7:7">
      <c r="G216" s="11"/>
    </row>
    <row r="217" spans="7:7">
      <c r="G217" s="13"/>
    </row>
    <row r="218" spans="7:7">
      <c r="G218" s="11"/>
    </row>
    <row r="219" spans="7:7">
      <c r="G219" s="13"/>
    </row>
    <row r="220" spans="7:7">
      <c r="G220" s="11"/>
    </row>
    <row r="221" spans="7:7">
      <c r="G221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B2000-656D-405E-A7BA-EC71A3911114}">
  <dimension ref="A1:A227"/>
  <sheetViews>
    <sheetView topLeftCell="A66" workbookViewId="0">
      <selection activeCell="A17" sqref="A17"/>
    </sheetView>
  </sheetViews>
  <sheetFormatPr defaultRowHeight="14.4"/>
  <cols>
    <col min="1" max="1" width="160.77734375" bestFit="1" customWidth="1"/>
  </cols>
  <sheetData>
    <row r="1" spans="1:1">
      <c r="A1" t="s">
        <v>570</v>
      </c>
    </row>
    <row r="5" spans="1:1" ht="23.4">
      <c r="A5" s="10" t="s">
        <v>470</v>
      </c>
    </row>
    <row r="7" spans="1:1">
      <c r="A7" s="12" t="s">
        <v>429</v>
      </c>
    </row>
    <row r="8" spans="1:1">
      <c r="A8" s="11"/>
    </row>
    <row r="9" spans="1:1">
      <c r="A9" s="11" t="s">
        <v>471</v>
      </c>
    </row>
    <row r="10" spans="1:1">
      <c r="A10" s="11"/>
    </row>
    <row r="11" spans="1:1">
      <c r="A11" s="11" t="s">
        <v>472</v>
      </c>
    </row>
    <row r="13" spans="1:1">
      <c r="A13" s="12" t="s">
        <v>430</v>
      </c>
    </row>
    <row r="14" spans="1:1">
      <c r="A14" s="11"/>
    </row>
    <row r="15" spans="1:1">
      <c r="A15" s="11" t="s">
        <v>473</v>
      </c>
    </row>
    <row r="16" spans="1:1">
      <c r="A16" s="11"/>
    </row>
    <row r="17" spans="1:1">
      <c r="A17" s="11" t="s">
        <v>474</v>
      </c>
    </row>
    <row r="19" spans="1:1">
      <c r="A19" s="12" t="s">
        <v>475</v>
      </c>
    </row>
    <row r="20" spans="1:1">
      <c r="A20" s="11"/>
    </row>
    <row r="21" spans="1:1">
      <c r="A21" s="11" t="s">
        <v>476</v>
      </c>
    </row>
    <row r="22" spans="1:1">
      <c r="A22" s="11"/>
    </row>
    <row r="23" spans="1:1">
      <c r="A23" s="11" t="s">
        <v>477</v>
      </c>
    </row>
    <row r="24" spans="1:1">
      <c r="A24" s="11"/>
    </row>
    <row r="25" spans="1:1">
      <c r="A25" s="11"/>
    </row>
    <row r="26" spans="1:1">
      <c r="A26" s="15"/>
    </row>
    <row r="27" spans="1:1">
      <c r="A27" s="15" t="s">
        <v>478</v>
      </c>
    </row>
    <row r="28" spans="1:1">
      <c r="A28" s="15"/>
    </row>
    <row r="29" spans="1:1">
      <c r="A29" s="15" t="s">
        <v>479</v>
      </c>
    </row>
    <row r="30" spans="1:1">
      <c r="A30" s="15"/>
    </row>
    <row r="31" spans="1:1">
      <c r="A31" s="15" t="s">
        <v>480</v>
      </c>
    </row>
    <row r="32" spans="1:1">
      <c r="A32" s="15"/>
    </row>
    <row r="33" spans="1:1">
      <c r="A33" s="15" t="s">
        <v>481</v>
      </c>
    </row>
    <row r="35" spans="1:1">
      <c r="A35" s="12" t="s">
        <v>482</v>
      </c>
    </row>
    <row r="36" spans="1:1">
      <c r="A36" s="11"/>
    </row>
    <row r="37" spans="1:1">
      <c r="A37" s="11" t="s">
        <v>483</v>
      </c>
    </row>
    <row r="38" spans="1:1">
      <c r="A38" s="11"/>
    </row>
    <row r="39" spans="1:1">
      <c r="A39" s="11" t="s">
        <v>477</v>
      </c>
    </row>
    <row r="40" spans="1:1">
      <c r="A40" s="11"/>
    </row>
    <row r="41" spans="1:1">
      <c r="A41" s="11"/>
    </row>
    <row r="42" spans="1:1">
      <c r="A42" s="15"/>
    </row>
    <row r="43" spans="1:1">
      <c r="A43" s="15" t="s">
        <v>484</v>
      </c>
    </row>
    <row r="44" spans="1:1">
      <c r="A44" s="15"/>
    </row>
    <row r="45" spans="1:1">
      <c r="A45" s="15" t="s">
        <v>479</v>
      </c>
    </row>
    <row r="46" spans="1:1">
      <c r="A46" s="15"/>
    </row>
    <row r="47" spans="1:1">
      <c r="A47" s="15" t="s">
        <v>485</v>
      </c>
    </row>
    <row r="48" spans="1:1">
      <c r="A48" s="15"/>
    </row>
    <row r="49" spans="1:1">
      <c r="A49" s="15" t="s">
        <v>486</v>
      </c>
    </row>
    <row r="51" spans="1:1">
      <c r="A51" s="12" t="s">
        <v>487</v>
      </c>
    </row>
    <row r="52" spans="1:1">
      <c r="A52" s="11"/>
    </row>
    <row r="53" spans="1:1">
      <c r="A53" s="11" t="s">
        <v>488</v>
      </c>
    </row>
    <row r="54" spans="1:1">
      <c r="A54" s="11"/>
    </row>
    <row r="55" spans="1:1">
      <c r="A55" s="11" t="s">
        <v>477</v>
      </c>
    </row>
    <row r="56" spans="1:1">
      <c r="A56" s="11"/>
    </row>
    <row r="57" spans="1:1">
      <c r="A57" s="11"/>
    </row>
    <row r="58" spans="1:1">
      <c r="A58" s="15"/>
    </row>
    <row r="59" spans="1:1">
      <c r="A59" s="15" t="s">
        <v>489</v>
      </c>
    </row>
    <row r="60" spans="1:1">
      <c r="A60" s="15"/>
    </row>
    <row r="61" spans="1:1">
      <c r="A61" s="15" t="s">
        <v>490</v>
      </c>
    </row>
    <row r="62" spans="1:1">
      <c r="A62" s="15"/>
    </row>
    <row r="63" spans="1:1">
      <c r="A63" s="15" t="s">
        <v>491</v>
      </c>
    </row>
    <row r="65" spans="1:1">
      <c r="A65" s="12" t="s">
        <v>492</v>
      </c>
    </row>
    <row r="66" spans="1:1">
      <c r="A66" s="11"/>
    </row>
    <row r="67" spans="1:1">
      <c r="A67" s="11" t="s">
        <v>493</v>
      </c>
    </row>
    <row r="68" spans="1:1">
      <c r="A68" s="11"/>
    </row>
    <row r="69" spans="1:1">
      <c r="A69" s="11" t="s">
        <v>477</v>
      </c>
    </row>
    <row r="70" spans="1:1">
      <c r="A70" s="11"/>
    </row>
    <row r="71" spans="1:1">
      <c r="A71" s="11"/>
    </row>
    <row r="72" spans="1:1">
      <c r="A72" s="15"/>
    </row>
    <row r="73" spans="1:1">
      <c r="A73" s="15" t="s">
        <v>494</v>
      </c>
    </row>
    <row r="74" spans="1:1">
      <c r="A74" s="15"/>
    </row>
    <row r="75" spans="1:1">
      <c r="A75" s="15" t="s">
        <v>495</v>
      </c>
    </row>
    <row r="76" spans="1:1">
      <c r="A76" s="15"/>
    </row>
    <row r="77" spans="1:1">
      <c r="A77" s="15" t="s">
        <v>496</v>
      </c>
    </row>
    <row r="78" spans="1:1">
      <c r="A78" s="15"/>
    </row>
    <row r="79" spans="1:1">
      <c r="A79" s="15" t="s">
        <v>486</v>
      </c>
    </row>
    <row r="81" spans="1:1">
      <c r="A81" s="12" t="s">
        <v>497</v>
      </c>
    </row>
    <row r="82" spans="1:1">
      <c r="A82" s="11"/>
    </row>
    <row r="83" spans="1:1">
      <c r="A83" s="11" t="s">
        <v>498</v>
      </c>
    </row>
    <row r="84" spans="1:1">
      <c r="A84" s="11"/>
    </row>
    <row r="85" spans="1:1">
      <c r="A85" s="11" t="s">
        <v>477</v>
      </c>
    </row>
    <row r="86" spans="1:1">
      <c r="A86" s="11"/>
    </row>
    <row r="87" spans="1:1">
      <c r="A87" s="11"/>
    </row>
    <row r="88" spans="1:1">
      <c r="A88" s="15"/>
    </row>
    <row r="89" spans="1:1">
      <c r="A89" s="15" t="s">
        <v>499</v>
      </c>
    </row>
    <row r="90" spans="1:1">
      <c r="A90" s="15"/>
    </row>
    <row r="91" spans="1:1">
      <c r="A91" s="15" t="s">
        <v>500</v>
      </c>
    </row>
    <row r="92" spans="1:1">
      <c r="A92" s="15"/>
    </row>
    <row r="93" spans="1:1">
      <c r="A93" s="15" t="s">
        <v>501</v>
      </c>
    </row>
    <row r="94" spans="1:1">
      <c r="A94" s="15"/>
    </row>
    <row r="95" spans="1:1">
      <c r="A95" s="15" t="s">
        <v>502</v>
      </c>
    </row>
    <row r="97" spans="1:1">
      <c r="A97" s="12" t="s">
        <v>503</v>
      </c>
    </row>
    <row r="98" spans="1:1">
      <c r="A98" s="11"/>
    </row>
    <row r="99" spans="1:1">
      <c r="A99" s="11" t="s">
        <v>504</v>
      </c>
    </row>
    <row r="100" spans="1:1">
      <c r="A100" s="11"/>
    </row>
    <row r="101" spans="1:1">
      <c r="A101" s="11" t="s">
        <v>505</v>
      </c>
    </row>
    <row r="102" spans="1:1">
      <c r="A102" s="11"/>
    </row>
    <row r="103" spans="1:1">
      <c r="A103" s="11"/>
    </row>
    <row r="104" spans="1:1">
      <c r="A104" s="15"/>
    </row>
    <row r="105" spans="1:1">
      <c r="A105" s="15" t="s">
        <v>506</v>
      </c>
    </row>
    <row r="106" spans="1:1">
      <c r="A106" s="15"/>
    </row>
    <row r="107" spans="1:1">
      <c r="A107" s="15" t="s">
        <v>507</v>
      </c>
    </row>
    <row r="108" spans="1:1">
      <c r="A108" s="15"/>
    </row>
    <row r="109" spans="1:1">
      <c r="A109" s="15" t="s">
        <v>508</v>
      </c>
    </row>
    <row r="113" spans="1:1" ht="23.4">
      <c r="A113" s="10" t="s">
        <v>509</v>
      </c>
    </row>
    <row r="115" spans="1:1">
      <c r="A115" s="12" t="s">
        <v>510</v>
      </c>
    </row>
    <row r="116" spans="1:1">
      <c r="A116" s="11"/>
    </row>
    <row r="117" spans="1:1">
      <c r="A117" s="13" t="s">
        <v>511</v>
      </c>
    </row>
    <row r="118" spans="1:1">
      <c r="A118" s="11"/>
    </row>
    <row r="119" spans="1:1">
      <c r="A119" s="11"/>
    </row>
    <row r="120" spans="1:1">
      <c r="A120" s="15"/>
    </row>
    <row r="121" spans="1:1">
      <c r="A121" s="15" t="s">
        <v>512</v>
      </c>
    </row>
    <row r="122" spans="1:1">
      <c r="A122" s="11"/>
    </row>
    <row r="123" spans="1:1">
      <c r="A123" s="13" t="s">
        <v>513</v>
      </c>
    </row>
    <row r="124" spans="1:1">
      <c r="A124" s="11"/>
    </row>
    <row r="125" spans="1:1">
      <c r="A125" s="11"/>
    </row>
    <row r="126" spans="1:1">
      <c r="A126" s="15"/>
    </row>
    <row r="127" spans="1:1">
      <c r="A127" s="15" t="s">
        <v>514</v>
      </c>
    </row>
    <row r="128" spans="1:1">
      <c r="A128" s="11"/>
    </row>
    <row r="129" spans="1:1">
      <c r="A129" s="13" t="s">
        <v>515</v>
      </c>
    </row>
    <row r="130" spans="1:1">
      <c r="A130" s="11"/>
    </row>
    <row r="131" spans="1:1">
      <c r="A131" s="11"/>
    </row>
    <row r="132" spans="1:1">
      <c r="A132" s="15"/>
    </row>
    <row r="133" spans="1:1">
      <c r="A133" s="15" t="s">
        <v>516</v>
      </c>
    </row>
    <row r="134" spans="1:1">
      <c r="A134" s="11"/>
    </row>
    <row r="135" spans="1:1">
      <c r="A135" s="13" t="s">
        <v>517</v>
      </c>
    </row>
    <row r="136" spans="1:1">
      <c r="A136" s="11"/>
    </row>
    <row r="137" spans="1:1">
      <c r="A137" s="11"/>
    </row>
    <row r="138" spans="1:1">
      <c r="A138" s="15"/>
    </row>
    <row r="139" spans="1:1">
      <c r="A139" s="15" t="s">
        <v>518</v>
      </c>
    </row>
    <row r="141" spans="1:1">
      <c r="A141" s="12" t="s">
        <v>519</v>
      </c>
    </row>
    <row r="142" spans="1:1">
      <c r="A142" s="11"/>
    </row>
    <row r="143" spans="1:1">
      <c r="A143" s="13" t="s">
        <v>520</v>
      </c>
    </row>
    <row r="144" spans="1:1">
      <c r="A144" s="11"/>
    </row>
    <row r="145" spans="1:1">
      <c r="A145" s="11"/>
    </row>
    <row r="146" spans="1:1">
      <c r="A146" s="15"/>
    </row>
    <row r="147" spans="1:1">
      <c r="A147" s="15" t="s">
        <v>521</v>
      </c>
    </row>
    <row r="148" spans="1:1">
      <c r="A148" s="11"/>
    </row>
    <row r="149" spans="1:1">
      <c r="A149" s="13" t="s">
        <v>522</v>
      </c>
    </row>
    <row r="150" spans="1:1">
      <c r="A150" s="11"/>
    </row>
    <row r="151" spans="1:1">
      <c r="A151" s="11"/>
    </row>
    <row r="152" spans="1:1">
      <c r="A152" s="15"/>
    </row>
    <row r="153" spans="1:1">
      <c r="A153" s="15" t="s">
        <v>523</v>
      </c>
    </row>
    <row r="157" spans="1:1" ht="23.4">
      <c r="A157" s="10" t="s">
        <v>524</v>
      </c>
    </row>
    <row r="159" spans="1:1">
      <c r="A159" s="12" t="s">
        <v>525</v>
      </c>
    </row>
    <row r="160" spans="1:1">
      <c r="A160" s="11"/>
    </row>
    <row r="161" spans="1:1">
      <c r="A161" s="11" t="s">
        <v>526</v>
      </c>
    </row>
    <row r="162" spans="1:1">
      <c r="A162" s="11"/>
    </row>
    <row r="163" spans="1:1">
      <c r="A163" s="11" t="s">
        <v>477</v>
      </c>
    </row>
    <row r="164" spans="1:1">
      <c r="A164" s="11"/>
    </row>
    <row r="165" spans="1:1">
      <c r="A165" s="11"/>
    </row>
    <row r="166" spans="1:1">
      <c r="A166" s="15"/>
    </row>
    <row r="167" spans="1:1">
      <c r="A167" s="15" t="s">
        <v>527</v>
      </c>
    </row>
    <row r="168" spans="1:1">
      <c r="A168" s="15"/>
    </row>
    <row r="169" spans="1:1">
      <c r="A169" s="15" t="s">
        <v>528</v>
      </c>
    </row>
    <row r="170" spans="1:1">
      <c r="A170" s="15"/>
    </row>
    <row r="171" spans="1:1">
      <c r="A171" s="15" t="s">
        <v>529</v>
      </c>
    </row>
    <row r="173" spans="1:1">
      <c r="A173" s="12" t="s">
        <v>530</v>
      </c>
    </row>
    <row r="174" spans="1:1">
      <c r="A174" s="11"/>
    </row>
    <row r="175" spans="1:1">
      <c r="A175" s="11" t="s">
        <v>531</v>
      </c>
    </row>
    <row r="176" spans="1:1">
      <c r="A176" s="11"/>
    </row>
    <row r="177" spans="1:1">
      <c r="A177" s="11" t="s">
        <v>477</v>
      </c>
    </row>
    <row r="178" spans="1:1">
      <c r="A178" s="11"/>
    </row>
    <row r="179" spans="1:1">
      <c r="A179" s="11"/>
    </row>
    <row r="180" spans="1:1">
      <c r="A180" s="15"/>
    </row>
    <row r="181" spans="1:1">
      <c r="A181" s="15" t="s">
        <v>532</v>
      </c>
    </row>
    <row r="182" spans="1:1">
      <c r="A182" s="15"/>
    </row>
    <row r="183" spans="1:1">
      <c r="A183" s="15" t="s">
        <v>533</v>
      </c>
    </row>
    <row r="184" spans="1:1">
      <c r="A184" s="15"/>
    </row>
    <row r="185" spans="1:1">
      <c r="A185" s="15" t="s">
        <v>534</v>
      </c>
    </row>
    <row r="186" spans="1:1">
      <c r="A186" s="15"/>
    </row>
    <row r="187" spans="1:1">
      <c r="A187" s="15" t="s">
        <v>535</v>
      </c>
    </row>
    <row r="189" spans="1:1">
      <c r="A189" s="12" t="s">
        <v>536</v>
      </c>
    </row>
    <row r="190" spans="1:1">
      <c r="A190" s="11"/>
    </row>
    <row r="191" spans="1:1">
      <c r="A191" s="11" t="s">
        <v>537</v>
      </c>
    </row>
    <row r="192" spans="1:1">
      <c r="A192" s="11"/>
    </row>
    <row r="193" spans="1:1">
      <c r="A193" s="11" t="s">
        <v>477</v>
      </c>
    </row>
    <row r="194" spans="1:1">
      <c r="A194" s="11"/>
    </row>
    <row r="195" spans="1:1">
      <c r="A195" s="11"/>
    </row>
    <row r="196" spans="1:1">
      <c r="A196" s="15"/>
    </row>
    <row r="197" spans="1:1">
      <c r="A197" s="15" t="s">
        <v>538</v>
      </c>
    </row>
    <row r="198" spans="1:1">
      <c r="A198" s="15"/>
    </row>
    <row r="199" spans="1:1">
      <c r="A199" s="26" t="s">
        <v>539</v>
      </c>
    </row>
    <row r="200" spans="1:1">
      <c r="A200" s="15"/>
    </row>
    <row r="201" spans="1:1">
      <c r="A201" s="15" t="s">
        <v>540</v>
      </c>
    </row>
    <row r="202" spans="1:1">
      <c r="A202" s="15"/>
    </row>
    <row r="203" spans="1:1">
      <c r="A203" s="15" t="s">
        <v>541</v>
      </c>
    </row>
    <row r="207" spans="1:1" ht="23.4">
      <c r="A207" s="10" t="s">
        <v>542</v>
      </c>
    </row>
    <row r="208" spans="1:1">
      <c r="A208" s="11"/>
    </row>
    <row r="209" spans="1:1">
      <c r="A209" s="13" t="s">
        <v>543</v>
      </c>
    </row>
    <row r="210" spans="1:1">
      <c r="A210" s="11"/>
    </row>
    <row r="211" spans="1:1">
      <c r="A211" s="13" t="s">
        <v>544</v>
      </c>
    </row>
    <row r="212" spans="1:1">
      <c r="A212" s="11"/>
    </row>
    <row r="213" spans="1:1">
      <c r="A213" s="13" t="s">
        <v>545</v>
      </c>
    </row>
    <row r="214" spans="1:1">
      <c r="A214" s="11"/>
    </row>
    <row r="215" spans="1:1">
      <c r="A215" s="13" t="s">
        <v>546</v>
      </c>
    </row>
    <row r="216" spans="1:1">
      <c r="A216" s="11"/>
    </row>
    <row r="217" spans="1:1">
      <c r="A217" s="13" t="s">
        <v>547</v>
      </c>
    </row>
    <row r="218" spans="1:1">
      <c r="A218" s="11"/>
    </row>
    <row r="219" spans="1:1">
      <c r="A219" s="13" t="s">
        <v>548</v>
      </c>
    </row>
    <row r="220" spans="1:1">
      <c r="A220" s="11"/>
    </row>
    <row r="221" spans="1:1">
      <c r="A221" s="13" t="s">
        <v>549</v>
      </c>
    </row>
    <row r="222" spans="1:1">
      <c r="A222" s="11"/>
    </row>
    <row r="223" spans="1:1">
      <c r="A223" s="13" t="s">
        <v>550</v>
      </c>
    </row>
    <row r="224" spans="1:1">
      <c r="A224" s="11"/>
    </row>
    <row r="225" spans="1:1">
      <c r="A225" s="13" t="s">
        <v>551</v>
      </c>
    </row>
    <row r="227" spans="1:1">
      <c r="A227" t="s">
        <v>552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40D2C-75F5-4063-AAD1-0B6EB439DD93}">
  <sheetPr codeName="Sheet4"/>
  <dimension ref="A1:A83"/>
  <sheetViews>
    <sheetView topLeftCell="A59" workbookViewId="0">
      <selection activeCell="B66" sqref="B66"/>
    </sheetView>
  </sheetViews>
  <sheetFormatPr defaultRowHeight="14.4"/>
  <cols>
    <col min="1" max="1" width="165.5546875" bestFit="1" customWidth="1"/>
  </cols>
  <sheetData>
    <row r="1" spans="1:1" ht="23.4">
      <c r="A1" s="10" t="s">
        <v>46</v>
      </c>
    </row>
    <row r="3" spans="1:1">
      <c r="A3" t="s">
        <v>47</v>
      </c>
    </row>
    <row r="4" spans="1:1">
      <c r="A4" s="11"/>
    </row>
    <row r="5" spans="1:1">
      <c r="A5" s="13" t="s">
        <v>48</v>
      </c>
    </row>
    <row r="6" spans="1:1">
      <c r="A6" s="11"/>
    </row>
    <row r="7" spans="1:1">
      <c r="A7" s="11" t="s">
        <v>49</v>
      </c>
    </row>
    <row r="11" spans="1:1" ht="18">
      <c r="A11" s="14" t="s">
        <v>50</v>
      </c>
    </row>
    <row r="12" spans="1:1">
      <c r="A12" s="11"/>
    </row>
    <row r="13" spans="1:1">
      <c r="A13" s="11" t="s">
        <v>51</v>
      </c>
    </row>
    <row r="14" spans="1:1">
      <c r="A14" s="11"/>
    </row>
    <row r="15" spans="1:1">
      <c r="A15" s="11" t="s">
        <v>52</v>
      </c>
    </row>
    <row r="16" spans="1:1">
      <c r="A16" s="11"/>
    </row>
    <row r="17" spans="1:1">
      <c r="A17" s="11" t="s">
        <v>53</v>
      </c>
    </row>
    <row r="19" spans="1:1">
      <c r="A19" t="s">
        <v>54</v>
      </c>
    </row>
    <row r="23" spans="1:1" ht="18">
      <c r="A23" s="14" t="s">
        <v>55</v>
      </c>
    </row>
    <row r="24" spans="1:1">
      <c r="A24" s="11"/>
    </row>
    <row r="25" spans="1:1">
      <c r="A25" s="11" t="s">
        <v>56</v>
      </c>
    </row>
    <row r="26" spans="1:1">
      <c r="A26" s="11"/>
    </row>
    <row r="27" spans="1:1">
      <c r="A27" s="11"/>
    </row>
    <row r="28" spans="1:1">
      <c r="A28" s="15"/>
    </row>
    <row r="29" spans="1:1">
      <c r="A29" s="15" t="s">
        <v>57</v>
      </c>
    </row>
    <row r="30" spans="1:1">
      <c r="A30" s="11"/>
    </row>
    <row r="31" spans="1:1">
      <c r="A31" s="11" t="s">
        <v>58</v>
      </c>
    </row>
    <row r="35" spans="1:1" ht="18">
      <c r="A35" s="14" t="s">
        <v>59</v>
      </c>
    </row>
    <row r="36" spans="1:1">
      <c r="A36" s="11"/>
    </row>
    <row r="37" spans="1:1">
      <c r="A37" s="11" t="s">
        <v>60</v>
      </c>
    </row>
    <row r="38" spans="1:1">
      <c r="A38" s="11"/>
    </row>
    <row r="39" spans="1:1">
      <c r="A39" s="11" t="s">
        <v>61</v>
      </c>
    </row>
    <row r="40" spans="1:1">
      <c r="A40" s="11"/>
    </row>
    <row r="41" spans="1:1">
      <c r="A41" s="11" t="s">
        <v>62</v>
      </c>
    </row>
    <row r="42" spans="1:1">
      <c r="A42" s="11"/>
    </row>
    <row r="43" spans="1:1">
      <c r="A43" s="11"/>
    </row>
    <row r="44" spans="1:1">
      <c r="A44" s="15"/>
    </row>
    <row r="45" spans="1:1">
      <c r="A45" s="15" t="s">
        <v>63</v>
      </c>
    </row>
    <row r="46" spans="1:1">
      <c r="A46" s="15"/>
    </row>
    <row r="47" spans="1:1">
      <c r="A47" s="15" t="s">
        <v>64</v>
      </c>
    </row>
    <row r="48" spans="1:1">
      <c r="A48" s="15"/>
    </row>
    <row r="49" spans="1:1">
      <c r="A49" s="15" t="s">
        <v>65</v>
      </c>
    </row>
    <row r="51" spans="1:1">
      <c r="A51" t="s">
        <v>66</v>
      </c>
    </row>
    <row r="55" spans="1:1" ht="23.4">
      <c r="A55" s="10" t="s">
        <v>67</v>
      </c>
    </row>
    <row r="57" spans="1:1">
      <c r="A57" t="s">
        <v>68</v>
      </c>
    </row>
    <row r="59" spans="1:1">
      <c r="A59" t="s">
        <v>69</v>
      </c>
    </row>
    <row r="60" spans="1:1">
      <c r="A60" t="s">
        <v>70</v>
      </c>
    </row>
    <row r="61" spans="1:1">
      <c r="A61" t="s">
        <v>71</v>
      </c>
    </row>
    <row r="63" spans="1:1">
      <c r="A63" t="s">
        <v>72</v>
      </c>
    </row>
    <row r="65" spans="1:1">
      <c r="A65" t="s">
        <v>73</v>
      </c>
    </row>
    <row r="66" spans="1:1">
      <c r="A66" t="s">
        <v>74</v>
      </c>
    </row>
    <row r="67" spans="1:1">
      <c r="A67" s="11"/>
    </row>
    <row r="68" spans="1:1">
      <c r="A68" s="11" t="s">
        <v>75</v>
      </c>
    </row>
    <row r="69" spans="1:1">
      <c r="A69" s="11"/>
    </row>
    <row r="70" spans="1:1">
      <c r="A70" s="11" t="s">
        <v>76</v>
      </c>
    </row>
    <row r="72" spans="1:1" ht="18">
      <c r="A72" s="14" t="s">
        <v>77</v>
      </c>
    </row>
    <row r="73" spans="1:1">
      <c r="A73" s="11"/>
    </row>
    <row r="74" spans="1:1">
      <c r="A74" s="13" t="s">
        <v>78</v>
      </c>
    </row>
    <row r="75" spans="1:1">
      <c r="A75" s="11"/>
    </row>
    <row r="76" spans="1:1">
      <c r="A76" s="13" t="s">
        <v>79</v>
      </c>
    </row>
    <row r="77" spans="1:1">
      <c r="A77" s="11"/>
    </row>
    <row r="78" spans="1:1">
      <c r="A78" s="13" t="s">
        <v>80</v>
      </c>
    </row>
    <row r="80" spans="1:1">
      <c r="A80" t="s">
        <v>81</v>
      </c>
    </row>
    <row r="81" spans="1:1">
      <c r="A81" t="s">
        <v>82</v>
      </c>
    </row>
    <row r="82" spans="1:1">
      <c r="A82" s="11"/>
    </row>
    <row r="83" spans="1:1">
      <c r="A83" s="11" t="s">
        <v>83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32872-C69C-4486-AD74-25B4B98BAE1E}">
  <sheetPr codeName="Sheet5"/>
  <dimension ref="A1:A143"/>
  <sheetViews>
    <sheetView workbookViewId="0"/>
  </sheetViews>
  <sheetFormatPr defaultRowHeight="14.4"/>
  <cols>
    <col min="1" max="1" width="187.44140625" bestFit="1" customWidth="1"/>
  </cols>
  <sheetData>
    <row r="1" spans="1:1">
      <c r="A1" t="s">
        <v>104</v>
      </c>
    </row>
    <row r="3" spans="1:1">
      <c r="A3" t="s">
        <v>89</v>
      </c>
    </row>
    <row r="4" spans="1:1">
      <c r="A4" s="11"/>
    </row>
    <row r="5" spans="1:1">
      <c r="A5" s="13" t="s">
        <v>90</v>
      </c>
    </row>
    <row r="9" spans="1:1" ht="18">
      <c r="A9" s="14" t="s">
        <v>91</v>
      </c>
    </row>
    <row r="10" spans="1:1">
      <c r="A10" s="11"/>
    </row>
    <row r="11" spans="1:1">
      <c r="A11" s="11" t="s">
        <v>92</v>
      </c>
    </row>
    <row r="12" spans="1:1">
      <c r="A12" s="11"/>
    </row>
    <row r="13" spans="1:1">
      <c r="A13" s="11" t="s">
        <v>93</v>
      </c>
    </row>
    <row r="14" spans="1:1">
      <c r="A14" s="11"/>
    </row>
    <row r="15" spans="1:1">
      <c r="A15" s="11" t="s">
        <v>94</v>
      </c>
    </row>
    <row r="17" spans="1:1">
      <c r="A17" t="s">
        <v>69</v>
      </c>
    </row>
    <row r="18" spans="1:1">
      <c r="A18" t="s">
        <v>95</v>
      </c>
    </row>
    <row r="19" spans="1:1">
      <c r="A19" t="s">
        <v>71</v>
      </c>
    </row>
    <row r="21" spans="1:1">
      <c r="A21" t="s">
        <v>96</v>
      </c>
    </row>
    <row r="22" spans="1:1">
      <c r="A22" t="s">
        <v>97</v>
      </c>
    </row>
    <row r="26" spans="1:1" ht="18">
      <c r="A26" s="14" t="s">
        <v>98</v>
      </c>
    </row>
    <row r="27" spans="1:1">
      <c r="A27" s="11"/>
    </row>
    <row r="28" spans="1:1">
      <c r="A28" s="11" t="s">
        <v>99</v>
      </c>
    </row>
    <row r="29" spans="1:1">
      <c r="A29" s="11"/>
    </row>
    <row r="30" spans="1:1">
      <c r="A30" s="11" t="s">
        <v>100</v>
      </c>
    </row>
    <row r="31" spans="1:1">
      <c r="A31" s="11"/>
    </row>
    <row r="32" spans="1:1">
      <c r="A32" s="11" t="s">
        <v>101</v>
      </c>
    </row>
    <row r="33" spans="1:1">
      <c r="A33" s="11"/>
    </row>
    <row r="34" spans="1:1">
      <c r="A34" s="11" t="s">
        <v>102</v>
      </c>
    </row>
    <row r="38" spans="1:1">
      <c r="A38" t="s">
        <v>103</v>
      </c>
    </row>
    <row r="40" spans="1:1">
      <c r="A40" t="s">
        <v>105</v>
      </c>
    </row>
    <row r="42" spans="1:1" ht="23.4">
      <c r="A42" s="10" t="s">
        <v>106</v>
      </c>
    </row>
    <row r="43" spans="1:1">
      <c r="A43" s="11"/>
    </row>
    <row r="44" spans="1:1">
      <c r="A44" s="11" t="s">
        <v>107</v>
      </c>
    </row>
    <row r="45" spans="1:1">
      <c r="A45" s="11"/>
    </row>
    <row r="46" spans="1:1">
      <c r="A46" s="11" t="s">
        <v>108</v>
      </c>
    </row>
    <row r="47" spans="1:1">
      <c r="A47" s="11"/>
    </row>
    <row r="48" spans="1:1">
      <c r="A48" s="11" t="s">
        <v>109</v>
      </c>
    </row>
    <row r="49" spans="1:1">
      <c r="A49" s="11"/>
    </row>
    <row r="50" spans="1:1">
      <c r="A50" s="13" t="s">
        <v>110</v>
      </c>
    </row>
    <row r="51" spans="1:1">
      <c r="A51" s="11"/>
    </row>
    <row r="52" spans="1:1">
      <c r="A52" s="11" t="s">
        <v>111</v>
      </c>
    </row>
    <row r="53" spans="1:1">
      <c r="A53" s="11"/>
    </row>
    <row r="54" spans="1:1">
      <c r="A54" s="13" t="s">
        <v>112</v>
      </c>
    </row>
    <row r="55" spans="1:1">
      <c r="A55" s="11"/>
    </row>
    <row r="56" spans="1:1">
      <c r="A56" s="13" t="s">
        <v>113</v>
      </c>
    </row>
    <row r="58" spans="1:1" ht="23.4">
      <c r="A58" s="10" t="s">
        <v>114</v>
      </c>
    </row>
    <row r="60" spans="1:1">
      <c r="A60" t="s">
        <v>69</v>
      </c>
    </row>
    <row r="61" spans="1:1">
      <c r="A61" t="s">
        <v>115</v>
      </c>
    </row>
    <row r="62" spans="1:1">
      <c r="A62" t="s">
        <v>71</v>
      </c>
    </row>
    <row r="63" spans="1:1">
      <c r="A63" s="11"/>
    </row>
    <row r="64" spans="1:1">
      <c r="A64" s="11" t="s">
        <v>116</v>
      </c>
    </row>
    <row r="66" spans="1:1" ht="23.4">
      <c r="A66" s="10" t="s">
        <v>117</v>
      </c>
    </row>
    <row r="68" spans="1:1">
      <c r="A68" t="s">
        <v>118</v>
      </c>
    </row>
    <row r="69" spans="1:1">
      <c r="A69" s="11"/>
    </row>
    <row r="70" spans="1:1">
      <c r="A70" s="13" t="s">
        <v>119</v>
      </c>
    </row>
    <row r="71" spans="1:1">
      <c r="A71" s="11"/>
    </row>
    <row r="72" spans="1:1">
      <c r="A72" s="13" t="s">
        <v>120</v>
      </c>
    </row>
    <row r="73" spans="1:1">
      <c r="A73" s="11" t="s">
        <v>121</v>
      </c>
    </row>
    <row r="74" spans="1:1">
      <c r="A74" s="17" t="s">
        <v>122</v>
      </c>
    </row>
    <row r="75" spans="1:1">
      <c r="A75" s="11"/>
    </row>
    <row r="76" spans="1:1">
      <c r="A76" s="13" t="s">
        <v>123</v>
      </c>
    </row>
    <row r="78" spans="1:1" ht="23.4">
      <c r="A78" s="10" t="s">
        <v>124</v>
      </c>
    </row>
    <row r="80" spans="1:1">
      <c r="A80" t="s">
        <v>125</v>
      </c>
    </row>
    <row r="81" spans="1:1">
      <c r="A81" s="11"/>
    </row>
    <row r="82" spans="1:1">
      <c r="A82" s="13" t="s">
        <v>126</v>
      </c>
    </row>
    <row r="83" spans="1:1">
      <c r="A83" s="11" t="s">
        <v>127</v>
      </c>
    </row>
    <row r="84" spans="1:1">
      <c r="A84" s="11"/>
    </row>
    <row r="85" spans="1:1">
      <c r="A85" s="13" t="s">
        <v>128</v>
      </c>
    </row>
    <row r="86" spans="1:1">
      <c r="A86" s="11" t="s">
        <v>129</v>
      </c>
    </row>
    <row r="87" spans="1:1">
      <c r="A87" s="11"/>
    </row>
    <row r="88" spans="1:1">
      <c r="A88" s="13" t="s">
        <v>130</v>
      </c>
    </row>
    <row r="89" spans="1:1">
      <c r="A89" s="11" t="s">
        <v>131</v>
      </c>
    </row>
    <row r="90" spans="1:1">
      <c r="A90" s="11"/>
    </row>
    <row r="91" spans="1:1">
      <c r="A91" s="13" t="s">
        <v>132</v>
      </c>
    </row>
    <row r="92" spans="1:1">
      <c r="A92" s="11" t="s">
        <v>133</v>
      </c>
    </row>
    <row r="93" spans="1:1">
      <c r="A93" s="11"/>
    </row>
    <row r="94" spans="1:1">
      <c r="A94" s="11" t="s">
        <v>134</v>
      </c>
    </row>
    <row r="96" spans="1:1" ht="23.4">
      <c r="A96" s="10" t="s">
        <v>135</v>
      </c>
    </row>
    <row r="98" spans="1:1">
      <c r="A98" t="s">
        <v>136</v>
      </c>
    </row>
    <row r="99" spans="1:1">
      <c r="A99" s="11"/>
    </row>
    <row r="100" spans="1:1">
      <c r="A100" s="13" t="s">
        <v>137</v>
      </c>
    </row>
    <row r="101" spans="1:1">
      <c r="A101" s="11" t="s">
        <v>138</v>
      </c>
    </row>
    <row r="102" spans="1:1">
      <c r="A102" s="11"/>
    </row>
    <row r="103" spans="1:1">
      <c r="A103" s="13" t="s">
        <v>139</v>
      </c>
    </row>
    <row r="104" spans="1:1">
      <c r="A104" s="11" t="s">
        <v>140</v>
      </c>
    </row>
    <row r="105" spans="1:1">
      <c r="A105" s="11"/>
    </row>
    <row r="106" spans="1:1">
      <c r="A106" s="11" t="s">
        <v>141</v>
      </c>
    </row>
    <row r="108" spans="1:1" ht="23.4">
      <c r="A108" s="10" t="s">
        <v>142</v>
      </c>
    </row>
    <row r="109" spans="1:1">
      <c r="A109" s="11"/>
    </row>
    <row r="110" spans="1:1">
      <c r="A110" s="13" t="s">
        <v>143</v>
      </c>
    </row>
    <row r="111" spans="1:1">
      <c r="A111" s="11"/>
    </row>
    <row r="112" spans="1:1">
      <c r="A112" s="13" t="s">
        <v>144</v>
      </c>
    </row>
    <row r="113" spans="1:1">
      <c r="A113" s="11"/>
    </row>
    <row r="114" spans="1:1">
      <c r="A114" s="13" t="s">
        <v>145</v>
      </c>
    </row>
    <row r="115" spans="1:1">
      <c r="A115" s="11"/>
    </row>
    <row r="116" spans="1:1">
      <c r="A116" s="13" t="s">
        <v>146</v>
      </c>
    </row>
    <row r="117" spans="1:1">
      <c r="A117" s="11"/>
    </row>
    <row r="118" spans="1:1">
      <c r="A118" s="11"/>
    </row>
    <row r="119" spans="1:1">
      <c r="A119" s="15"/>
    </row>
    <row r="120" spans="1:1">
      <c r="A120" s="15" t="s">
        <v>147</v>
      </c>
    </row>
    <row r="121" spans="1:1">
      <c r="A121" s="15"/>
    </row>
    <row r="122" spans="1:1">
      <c r="A122" s="15" t="s">
        <v>148</v>
      </c>
    </row>
    <row r="123" spans="1:1">
      <c r="A123" s="11"/>
    </row>
    <row r="124" spans="1:1">
      <c r="A124" s="13" t="s">
        <v>149</v>
      </c>
    </row>
    <row r="125" spans="1:1">
      <c r="A125" s="11"/>
    </row>
    <row r="126" spans="1:1">
      <c r="A126" s="13" t="s">
        <v>150</v>
      </c>
    </row>
    <row r="127" spans="1:1">
      <c r="A127" s="11"/>
    </row>
    <row r="128" spans="1:1">
      <c r="A128" s="11"/>
    </row>
    <row r="129" spans="1:1">
      <c r="A129" s="15"/>
    </row>
    <row r="130" spans="1:1">
      <c r="A130" s="15" t="s">
        <v>151</v>
      </c>
    </row>
    <row r="131" spans="1:1">
      <c r="A131" s="15"/>
    </row>
    <row r="132" spans="1:1">
      <c r="A132" s="15" t="s">
        <v>152</v>
      </c>
    </row>
    <row r="133" spans="1:1">
      <c r="A133" s="18" t="s">
        <v>153</v>
      </c>
    </row>
    <row r="135" spans="1:1" ht="23.4">
      <c r="A135" s="10" t="s">
        <v>154</v>
      </c>
    </row>
    <row r="136" spans="1:1">
      <c r="A136" s="11"/>
    </row>
    <row r="137" spans="1:1">
      <c r="A137" s="11" t="s">
        <v>155</v>
      </c>
    </row>
    <row r="138" spans="1:1">
      <c r="A138" s="11"/>
    </row>
    <row r="139" spans="1:1">
      <c r="A139" s="11" t="s">
        <v>156</v>
      </c>
    </row>
    <row r="143" spans="1:1">
      <c r="A143" t="s">
        <v>157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3FC74-84DA-471E-B0D9-11F8E617129C}">
  <sheetPr codeName="Sheet6"/>
  <dimension ref="A1:B81"/>
  <sheetViews>
    <sheetView workbookViewId="0">
      <selection activeCell="D5" sqref="D5"/>
    </sheetView>
  </sheetViews>
  <sheetFormatPr defaultRowHeight="14.4"/>
  <cols>
    <col min="1" max="1" width="189.5546875" bestFit="1" customWidth="1"/>
  </cols>
  <sheetData>
    <row r="1" spans="1:1">
      <c r="A1" t="s">
        <v>159</v>
      </c>
    </row>
    <row r="5" spans="1:1" ht="18">
      <c r="A5" s="14" t="s">
        <v>160</v>
      </c>
    </row>
    <row r="6" spans="1:1">
      <c r="A6" s="11"/>
    </row>
    <row r="7" spans="1:1">
      <c r="A7" s="13" t="s">
        <v>161</v>
      </c>
    </row>
    <row r="8" spans="1:1">
      <c r="A8" s="11"/>
    </row>
    <row r="9" spans="1:1">
      <c r="A9" s="11" t="s">
        <v>162</v>
      </c>
    </row>
    <row r="10" spans="1:1">
      <c r="A10" s="11"/>
    </row>
    <row r="11" spans="1:1">
      <c r="A11" s="11" t="s">
        <v>163</v>
      </c>
    </row>
    <row r="15" spans="1:1" ht="18">
      <c r="A15" s="14" t="s">
        <v>164</v>
      </c>
    </row>
    <row r="16" spans="1:1">
      <c r="A16" s="11"/>
    </row>
    <row r="17" spans="1:2">
      <c r="A17" s="11" t="s">
        <v>165</v>
      </c>
    </row>
    <row r="18" spans="1:2">
      <c r="A18" s="11"/>
    </row>
    <row r="19" spans="1:2">
      <c r="A19" s="11" t="s">
        <v>166</v>
      </c>
    </row>
    <row r="20" spans="1:2">
      <c r="A20" s="11"/>
    </row>
    <row r="21" spans="1:2">
      <c r="A21" s="11" t="s">
        <v>167</v>
      </c>
    </row>
    <row r="25" spans="1:2" ht="18">
      <c r="A25" s="14" t="s">
        <v>168</v>
      </c>
    </row>
    <row r="27" spans="1:2">
      <c r="A27" t="s">
        <v>169</v>
      </c>
    </row>
    <row r="29" spans="1:2" ht="43.2">
      <c r="A29" s="7" t="s">
        <v>170</v>
      </c>
      <c r="B29" s="7" t="s">
        <v>171</v>
      </c>
    </row>
    <row r="30" spans="1:2" ht="43.2">
      <c r="A30" s="8" t="s">
        <v>172</v>
      </c>
      <c r="B30" s="8" t="s">
        <v>173</v>
      </c>
    </row>
    <row r="31" spans="1:2" ht="28.8">
      <c r="A31" s="8" t="s">
        <v>174</v>
      </c>
      <c r="B31" s="8" t="s">
        <v>175</v>
      </c>
    </row>
    <row r="32" spans="1:2" ht="28.8">
      <c r="A32" s="8" t="s">
        <v>176</v>
      </c>
      <c r="B32" s="8" t="s">
        <v>173</v>
      </c>
    </row>
    <row r="33" spans="1:2" ht="43.2">
      <c r="A33" s="8" t="s">
        <v>177</v>
      </c>
      <c r="B33" s="8" t="s">
        <v>178</v>
      </c>
    </row>
    <row r="35" spans="1:2">
      <c r="A35" t="s">
        <v>179</v>
      </c>
    </row>
    <row r="36" spans="1:2">
      <c r="A36" s="11"/>
    </row>
    <row r="37" spans="1:2">
      <c r="A37" s="13" t="s">
        <v>180</v>
      </c>
    </row>
    <row r="38" spans="1:2">
      <c r="A38" s="11"/>
    </row>
    <row r="39" spans="1:2">
      <c r="A39" s="13" t="s">
        <v>181</v>
      </c>
    </row>
    <row r="40" spans="1:2">
      <c r="A40" s="11"/>
    </row>
    <row r="41" spans="1:2">
      <c r="A41" s="13" t="s">
        <v>182</v>
      </c>
    </row>
    <row r="43" spans="1:2">
      <c r="A43" t="s">
        <v>183</v>
      </c>
    </row>
    <row r="44" spans="1:2">
      <c r="A44" t="s">
        <v>69</v>
      </c>
    </row>
    <row r="45" spans="1:2">
      <c r="A45" t="s">
        <v>184</v>
      </c>
    </row>
    <row r="46" spans="1:2">
      <c r="A46" t="s">
        <v>71</v>
      </c>
    </row>
    <row r="50" spans="1:1" ht="18">
      <c r="A50" s="14" t="s">
        <v>185</v>
      </c>
    </row>
    <row r="51" spans="1:1">
      <c r="A51" s="11"/>
    </row>
    <row r="52" spans="1:1">
      <c r="A52" s="13" t="s">
        <v>186</v>
      </c>
    </row>
    <row r="53" spans="1:1">
      <c r="A53" s="11"/>
    </row>
    <row r="54" spans="1:1">
      <c r="A54" s="13" t="s">
        <v>187</v>
      </c>
    </row>
    <row r="55" spans="1:1">
      <c r="A55" s="11"/>
    </row>
    <row r="56" spans="1:1">
      <c r="A56" s="13" t="s">
        <v>188</v>
      </c>
    </row>
    <row r="57" spans="1:1">
      <c r="A57" s="11"/>
    </row>
    <row r="58" spans="1:1">
      <c r="A58" s="11" t="s">
        <v>189</v>
      </c>
    </row>
    <row r="62" spans="1:1" ht="18">
      <c r="A62" s="14" t="s">
        <v>190</v>
      </c>
    </row>
    <row r="64" spans="1:1">
      <c r="A64" t="s">
        <v>191</v>
      </c>
    </row>
    <row r="65" spans="1:1">
      <c r="A65" s="11"/>
    </row>
    <row r="66" spans="1:1">
      <c r="A66" s="11" t="s">
        <v>192</v>
      </c>
    </row>
    <row r="67" spans="1:1">
      <c r="A67" s="11"/>
    </row>
    <row r="68" spans="1:1">
      <c r="A68" s="11" t="s">
        <v>193</v>
      </c>
    </row>
    <row r="69" spans="1:1">
      <c r="A69" s="11" t="s">
        <v>69</v>
      </c>
    </row>
    <row r="70" spans="1:1">
      <c r="A70" s="11" t="s">
        <v>194</v>
      </c>
    </row>
    <row r="71" spans="1:1">
      <c r="A71" s="11" t="s">
        <v>71</v>
      </c>
    </row>
    <row r="72" spans="1:1">
      <c r="A72" s="11"/>
    </row>
    <row r="73" spans="1:1">
      <c r="A73" s="11" t="s">
        <v>195</v>
      </c>
    </row>
    <row r="74" spans="1:1">
      <c r="A74" s="11" t="s">
        <v>69</v>
      </c>
    </row>
    <row r="75" spans="1:1">
      <c r="A75" s="11" t="s">
        <v>196</v>
      </c>
    </row>
    <row r="76" spans="1:1">
      <c r="A76" s="11" t="s">
        <v>71</v>
      </c>
    </row>
    <row r="77" spans="1:1">
      <c r="A77" s="11" t="s">
        <v>197</v>
      </c>
    </row>
    <row r="81" spans="1:1">
      <c r="A81" t="s">
        <v>198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8488C-134B-43F8-AF8C-F2B8E25021D6}">
  <sheetPr codeName="Sheet7"/>
  <dimension ref="A1:A109"/>
  <sheetViews>
    <sheetView workbookViewId="0">
      <selection activeCell="I17" sqref="I17"/>
    </sheetView>
  </sheetViews>
  <sheetFormatPr defaultRowHeight="14.4"/>
  <cols>
    <col min="1" max="1" width="162.88671875" bestFit="1" customWidth="1"/>
  </cols>
  <sheetData>
    <row r="1" spans="1:1">
      <c r="A1" t="s">
        <v>206</v>
      </c>
    </row>
    <row r="3" spans="1:1">
      <c r="A3" t="s">
        <v>207</v>
      </c>
    </row>
    <row r="5" spans="1:1">
      <c r="A5" t="s">
        <v>69</v>
      </c>
    </row>
    <row r="6" spans="1:1">
      <c r="A6" t="s">
        <v>208</v>
      </c>
    </row>
    <row r="7" spans="1:1">
      <c r="A7" t="s">
        <v>209</v>
      </c>
    </row>
    <row r="8" spans="1:1">
      <c r="A8" t="s">
        <v>210</v>
      </c>
    </row>
    <row r="9" spans="1:1">
      <c r="A9" t="s">
        <v>71</v>
      </c>
    </row>
    <row r="10" spans="1:1">
      <c r="A10" t="s">
        <v>69</v>
      </c>
    </row>
    <row r="11" spans="1:1">
      <c r="A11" t="s">
        <v>211</v>
      </c>
    </row>
    <row r="12" spans="1:1">
      <c r="A12" t="s">
        <v>212</v>
      </c>
    </row>
    <row r="13" spans="1:1">
      <c r="A13" t="s">
        <v>71</v>
      </c>
    </row>
    <row r="14" spans="1:1">
      <c r="A14" s="11"/>
    </row>
    <row r="15" spans="1:1">
      <c r="A15" s="11" t="s">
        <v>213</v>
      </c>
    </row>
    <row r="16" spans="1:1">
      <c r="A16" s="11"/>
    </row>
    <row r="17" spans="1:1">
      <c r="A17" s="11" t="s">
        <v>214</v>
      </c>
    </row>
    <row r="18" spans="1:1">
      <c r="A18" s="11"/>
    </row>
    <row r="19" spans="1:1">
      <c r="A19" s="11" t="s">
        <v>215</v>
      </c>
    </row>
    <row r="20" spans="1:1">
      <c r="A20" s="11"/>
    </row>
    <row r="21" spans="1:1">
      <c r="A21" s="11" t="s">
        <v>216</v>
      </c>
    </row>
    <row r="22" spans="1:1">
      <c r="A22" s="11"/>
    </row>
    <row r="23" spans="1:1">
      <c r="A23" s="11" t="s">
        <v>217</v>
      </c>
    </row>
    <row r="24" spans="1:1">
      <c r="A24" s="11"/>
    </row>
    <row r="25" spans="1:1">
      <c r="A25" s="11" t="s">
        <v>218</v>
      </c>
    </row>
    <row r="26" spans="1:1">
      <c r="A26" s="11"/>
    </row>
    <row r="27" spans="1:1">
      <c r="A27" s="11" t="s">
        <v>219</v>
      </c>
    </row>
    <row r="29" spans="1:1">
      <c r="A29" s="19" t="s">
        <v>220</v>
      </c>
    </row>
    <row r="33" spans="1:1" ht="23.4">
      <c r="A33" s="10" t="s">
        <v>221</v>
      </c>
    </row>
    <row r="35" spans="1:1" ht="18">
      <c r="A35" s="14" t="s">
        <v>222</v>
      </c>
    </row>
    <row r="36" spans="1:1">
      <c r="A36" s="11"/>
    </row>
    <row r="37" spans="1:1">
      <c r="A37" s="13" t="s">
        <v>223</v>
      </c>
    </row>
    <row r="38" spans="1:1">
      <c r="A38" s="11"/>
    </row>
    <row r="39" spans="1:1">
      <c r="A39" s="13" t="s">
        <v>224</v>
      </c>
    </row>
    <row r="40" spans="1:1">
      <c r="A40" s="11"/>
    </row>
    <row r="41" spans="1:1">
      <c r="A41" s="13" t="s">
        <v>225</v>
      </c>
    </row>
    <row r="42" spans="1:1">
      <c r="A42" s="11"/>
    </row>
    <row r="43" spans="1:1">
      <c r="A43" s="13" t="s">
        <v>226</v>
      </c>
    </row>
    <row r="44" spans="1:1">
      <c r="A44" s="11"/>
    </row>
    <row r="45" spans="1:1">
      <c r="A45" s="13" t="s">
        <v>227</v>
      </c>
    </row>
    <row r="46" spans="1:1">
      <c r="A46" s="11"/>
    </row>
    <row r="47" spans="1:1">
      <c r="A47" s="13" t="s">
        <v>228</v>
      </c>
    </row>
    <row r="48" spans="1:1">
      <c r="A48" s="11"/>
    </row>
    <row r="49" spans="1:1">
      <c r="A49" s="13" t="s">
        <v>229</v>
      </c>
    </row>
    <row r="50" spans="1:1">
      <c r="A50" s="11"/>
    </row>
    <row r="51" spans="1:1">
      <c r="A51" s="13" t="s">
        <v>230</v>
      </c>
    </row>
    <row r="52" spans="1:1">
      <c r="A52" s="11"/>
    </row>
    <row r="53" spans="1:1">
      <c r="A53" s="13" t="s">
        <v>231</v>
      </c>
    </row>
    <row r="54" spans="1:1">
      <c r="A54" s="11"/>
    </row>
    <row r="55" spans="1:1">
      <c r="A55" s="21" t="s">
        <v>232</v>
      </c>
    </row>
    <row r="57" spans="1:1" ht="18">
      <c r="A57" s="14" t="s">
        <v>233</v>
      </c>
    </row>
    <row r="58" spans="1:1">
      <c r="A58" s="11"/>
    </row>
    <row r="59" spans="1:1">
      <c r="A59" s="13" t="s">
        <v>234</v>
      </c>
    </row>
    <row r="60" spans="1:1">
      <c r="A60" s="11"/>
    </row>
    <row r="61" spans="1:1">
      <c r="A61" s="22">
        <f>B3*B2*B4*B5*B6*B7</f>
        <v>0</v>
      </c>
    </row>
    <row r="62" spans="1:1">
      <c r="A62" s="11"/>
    </row>
    <row r="63" spans="1:1">
      <c r="A63" s="13" t="s">
        <v>235</v>
      </c>
    </row>
    <row r="64" spans="1:1">
      <c r="A64" s="11"/>
    </row>
    <row r="65" spans="1:1">
      <c r="A65" s="22">
        <f>B3*B2*B8*B5*B9*B10</f>
        <v>0</v>
      </c>
    </row>
    <row r="66" spans="1:1">
      <c r="A66" s="11"/>
    </row>
    <row r="67" spans="1:1">
      <c r="A67" s="13" t="s">
        <v>236</v>
      </c>
    </row>
    <row r="68" spans="1:1">
      <c r="A68" s="11"/>
    </row>
    <row r="69" spans="1:1">
      <c r="A69" s="22">
        <f>B12-B13</f>
        <v>0</v>
      </c>
    </row>
    <row r="70" spans="1:1">
      <c r="A70" s="11"/>
    </row>
    <row r="71" spans="1:1">
      <c r="A71" s="13" t="s">
        <v>237</v>
      </c>
    </row>
    <row r="72" spans="1:1">
      <c r="A72" s="11"/>
    </row>
    <row r="73" spans="1:1">
      <c r="A73" s="22">
        <f>B14*20.885</f>
        <v>0</v>
      </c>
    </row>
    <row r="74" spans="1:1">
      <c r="A74" s="11"/>
    </row>
    <row r="75" spans="1:1">
      <c r="A75" s="13" t="s">
        <v>238</v>
      </c>
    </row>
    <row r="76" spans="1:1">
      <c r="A76" s="11"/>
    </row>
    <row r="77" spans="1:1">
      <c r="A77" s="22">
        <f>MAX(0,-B15)</f>
        <v>0</v>
      </c>
    </row>
    <row r="78" spans="1:1">
      <c r="A78" s="11"/>
    </row>
    <row r="79" spans="1:1">
      <c r="A79" s="21" t="s">
        <v>239</v>
      </c>
    </row>
    <row r="83" spans="1:1" ht="23.4">
      <c r="A83" s="10" t="s">
        <v>240</v>
      </c>
    </row>
    <row r="84" spans="1:1">
      <c r="A84" s="11"/>
    </row>
    <row r="85" spans="1:1">
      <c r="A85" s="13" t="s">
        <v>241</v>
      </c>
    </row>
    <row r="86" spans="1:1">
      <c r="A86" s="11"/>
    </row>
    <row r="87" spans="1:1">
      <c r="A87" s="13" t="s">
        <v>242</v>
      </c>
    </row>
    <row r="88" spans="1:1">
      <c r="A88" s="11"/>
    </row>
    <row r="89" spans="1:1">
      <c r="A89" s="13" t="s">
        <v>243</v>
      </c>
    </row>
    <row r="90" spans="1:1">
      <c r="A90" s="11"/>
    </row>
    <row r="91" spans="1:1">
      <c r="A91" s="11"/>
    </row>
    <row r="92" spans="1:1">
      <c r="A92" s="15"/>
    </row>
    <row r="93" spans="1:1">
      <c r="A93" s="15" t="s">
        <v>244</v>
      </c>
    </row>
    <row r="94" spans="1:1">
      <c r="A94" s="15"/>
    </row>
    <row r="95" spans="1:1">
      <c r="A95" s="15" t="s">
        <v>245</v>
      </c>
    </row>
    <row r="96" spans="1:1">
      <c r="A96" s="11"/>
    </row>
    <row r="97" spans="1:1">
      <c r="A97" s="13" t="s">
        <v>246</v>
      </c>
    </row>
    <row r="99" spans="1:1">
      <c r="A99" s="19" t="s">
        <v>247</v>
      </c>
    </row>
    <row r="103" spans="1:1" ht="23.4">
      <c r="A103" s="10" t="s">
        <v>248</v>
      </c>
    </row>
    <row r="105" spans="1:1">
      <c r="A105" t="s">
        <v>249</v>
      </c>
    </row>
    <row r="109" spans="1:1">
      <c r="A109" t="s">
        <v>250</v>
      </c>
    </row>
  </sheetData>
  <hyperlinks>
    <hyperlink ref="A29" r:id="rId1" tooltip="NBCC 2015" display="https://cssbi.ca/assets/resources/Design_Manuals/CSSBI-B15-17-lr.pdf?utm_source=chatgpt.com" xr:uid="{FB23CC31-E04C-400F-B8F6-A39E28A55BC4}"/>
    <hyperlink ref="A55" r:id="rId2" tooltip="Appendix C Climatic and Seismic Information for Building ..." display="https://free.bcpublications.ca/civix/document/id/public/bcbc2018/bcbc_2018dbac?utm_source=chatgpt.com" xr:uid="{22657642-56EF-4B29-8B17-8C58221102EF}"/>
    <hyperlink ref="A79" r:id="rId3" tooltip="windspeed to pressure conversion chart" display="https://www.nationaltimbergroup.com/app/uploads/2021/10/Windspeed-to-Pressure-conversion-chart-23.9.11.pdf?utm_source=chatgpt.com" xr:uid="{4DAA4590-00B9-4D8D-8CB8-1EE5BA6C5AD9}"/>
    <hyperlink ref="A99" r:id="rId4" tooltip="NBCC 2015" display="https://cssbi.ca/assets/resources/Design_Manuals/CSSBI-B15-17-lr.pdf?utm_source=chatgpt.com" xr:uid="{55628504-7BA2-495A-BAF8-0E76E8DAAB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DA2A1-EB94-47C5-92D3-3A501DA7D59F}">
  <sheetPr codeName="Sheet8"/>
  <dimension ref="A1:A93"/>
  <sheetViews>
    <sheetView workbookViewId="0">
      <selection activeCell="F11" sqref="F11"/>
    </sheetView>
  </sheetViews>
  <sheetFormatPr defaultRowHeight="14.4"/>
  <cols>
    <col min="1" max="1" width="195.6640625" bestFit="1" customWidth="1"/>
  </cols>
  <sheetData>
    <row r="1" spans="1:1">
      <c r="A1" t="s">
        <v>264</v>
      </c>
    </row>
    <row r="3" spans="1:1">
      <c r="A3" t="s">
        <v>69</v>
      </c>
    </row>
    <row r="4" spans="1:1">
      <c r="A4" t="s">
        <v>265</v>
      </c>
    </row>
    <row r="5" spans="1:1">
      <c r="A5" t="s">
        <v>71</v>
      </c>
    </row>
    <row r="9" spans="1:1" ht="23.4">
      <c r="A9" s="10" t="s">
        <v>266</v>
      </c>
    </row>
    <row r="11" spans="1:1">
      <c r="A11" t="s">
        <v>267</v>
      </c>
    </row>
    <row r="12" spans="1:1">
      <c r="A12" s="11"/>
    </row>
    <row r="13" spans="1:1">
      <c r="A13" s="13" t="s">
        <v>268</v>
      </c>
    </row>
    <row r="14" spans="1:1">
      <c r="A14" s="11"/>
    </row>
    <row r="15" spans="1:1">
      <c r="A15" s="11"/>
    </row>
    <row r="16" spans="1:1">
      <c r="A16" s="15"/>
    </row>
    <row r="17" spans="1:1">
      <c r="A17" s="15" t="s">
        <v>269</v>
      </c>
    </row>
    <row r="18" spans="1:1">
      <c r="A18" s="15"/>
    </row>
    <row r="19" spans="1:1">
      <c r="A19" s="15" t="s">
        <v>270</v>
      </c>
    </row>
    <row r="20" spans="1:1">
      <c r="A20" s="15"/>
    </row>
    <row r="21" spans="1:1">
      <c r="A21" s="15"/>
    </row>
    <row r="22" spans="1:1">
      <c r="A22" s="25"/>
    </row>
    <row r="23" spans="1:1">
      <c r="A23" s="25" t="s">
        <v>271</v>
      </c>
    </row>
    <row r="24" spans="1:1">
      <c r="A24" s="25"/>
    </row>
    <row r="25" spans="1:1">
      <c r="A25" s="25" t="s">
        <v>272</v>
      </c>
    </row>
    <row r="26" spans="1:1">
      <c r="A26" s="11"/>
    </row>
    <row r="27" spans="1:1">
      <c r="A27" s="13" t="s">
        <v>273</v>
      </c>
    </row>
    <row r="28" spans="1:1">
      <c r="A28" s="11" t="s">
        <v>69</v>
      </c>
    </row>
    <row r="29" spans="1:1">
      <c r="A29" s="11" t="s">
        <v>274</v>
      </c>
    </row>
    <row r="30" spans="1:1">
      <c r="A30" s="11" t="s">
        <v>71</v>
      </c>
    </row>
    <row r="31" spans="1:1">
      <c r="A31" s="11"/>
    </row>
    <row r="32" spans="1:1">
      <c r="A32" s="11"/>
    </row>
    <row r="33" spans="1:1">
      <c r="A33" s="15"/>
    </row>
    <row r="34" spans="1:1">
      <c r="A34" s="15" t="s">
        <v>275</v>
      </c>
    </row>
    <row r="35" spans="1:1">
      <c r="A35" s="15"/>
    </row>
    <row r="36" spans="1:1">
      <c r="A36" s="15"/>
    </row>
    <row r="37" spans="1:1">
      <c r="A37" s="25"/>
    </row>
    <row r="38" spans="1:1">
      <c r="A38" s="25" t="s">
        <v>276</v>
      </c>
    </row>
    <row r="39" spans="1:1">
      <c r="A39" s="25"/>
    </row>
    <row r="40" spans="1:1">
      <c r="A40" s="25" t="s">
        <v>277</v>
      </c>
    </row>
    <row r="41" spans="1:1">
      <c r="A41" s="11"/>
    </row>
    <row r="42" spans="1:1">
      <c r="A42" s="13" t="s">
        <v>278</v>
      </c>
    </row>
    <row r="43" spans="1:1">
      <c r="A43" s="11"/>
    </row>
    <row r="44" spans="1:1">
      <c r="A44" s="11"/>
    </row>
    <row r="45" spans="1:1">
      <c r="A45" s="15"/>
    </row>
    <row r="46" spans="1:1">
      <c r="A46" s="26" t="s">
        <v>279</v>
      </c>
    </row>
    <row r="47" spans="1:1">
      <c r="A47" s="15" t="s">
        <v>69</v>
      </c>
    </row>
    <row r="48" spans="1:1">
      <c r="A48" s="15" t="s">
        <v>280</v>
      </c>
    </row>
    <row r="49" spans="1:1">
      <c r="A49" s="15" t="s">
        <v>71</v>
      </c>
    </row>
    <row r="50" spans="1:1">
      <c r="A50" s="15"/>
    </row>
    <row r="51" spans="1:1">
      <c r="A51" s="15"/>
    </row>
    <row r="52" spans="1:1">
      <c r="A52" s="25"/>
    </row>
    <row r="53" spans="1:1">
      <c r="A53" s="25" t="s">
        <v>281</v>
      </c>
    </row>
    <row r="54" spans="1:1">
      <c r="A54" s="25"/>
    </row>
    <row r="55" spans="1:1">
      <c r="A55" s="25" t="s">
        <v>282</v>
      </c>
    </row>
    <row r="56" spans="1:1">
      <c r="A56" s="11"/>
    </row>
    <row r="57" spans="1:1">
      <c r="A57" s="11" t="s">
        <v>283</v>
      </c>
    </row>
    <row r="61" spans="1:1" ht="23.4">
      <c r="A61" s="10" t="s">
        <v>284</v>
      </c>
    </row>
    <row r="63" spans="1:1">
      <c r="A63" t="s">
        <v>285</v>
      </c>
    </row>
    <row r="64" spans="1:1">
      <c r="A64" s="11"/>
    </row>
    <row r="65" spans="1:1">
      <c r="A65" s="13" t="s">
        <v>286</v>
      </c>
    </row>
    <row r="66" spans="1:1">
      <c r="A66" s="11"/>
    </row>
    <row r="67" spans="1:1">
      <c r="A67" s="13" t="s">
        <v>287</v>
      </c>
    </row>
    <row r="71" spans="1:1" ht="23.4">
      <c r="A71" s="10" t="s">
        <v>288</v>
      </c>
    </row>
    <row r="72" spans="1:1">
      <c r="A72" s="11"/>
    </row>
    <row r="73" spans="1:1">
      <c r="A73" s="13" t="s">
        <v>289</v>
      </c>
    </row>
    <row r="74" spans="1:1">
      <c r="A74" s="22" t="s">
        <v>290</v>
      </c>
    </row>
    <row r="75" spans="1:1">
      <c r="A75" s="11"/>
    </row>
    <row r="76" spans="1:1">
      <c r="A76" s="13" t="s">
        <v>291</v>
      </c>
    </row>
    <row r="77" spans="1:1">
      <c r="A77" s="22" t="s">
        <v>292</v>
      </c>
    </row>
    <row r="79" spans="1:1">
      <c r="A79" t="s">
        <v>293</v>
      </c>
    </row>
    <row r="80" spans="1:1">
      <c r="A80" t="s">
        <v>69</v>
      </c>
    </row>
    <row r="81" spans="1:1">
      <c r="A81" t="s">
        <v>294</v>
      </c>
    </row>
    <row r="82" spans="1:1">
      <c r="A82" t="s">
        <v>295</v>
      </c>
    </row>
    <row r="83" spans="1:1">
      <c r="A83" t="s">
        <v>71</v>
      </c>
    </row>
    <row r="87" spans="1:1" ht="23.4">
      <c r="A87" s="10" t="s">
        <v>296</v>
      </c>
    </row>
    <row r="88" spans="1:1">
      <c r="A88" s="11"/>
    </row>
    <row r="89" spans="1:1">
      <c r="A89" s="13" t="s">
        <v>297</v>
      </c>
    </row>
    <row r="90" spans="1:1">
      <c r="A90" s="11"/>
    </row>
    <row r="91" spans="1:1">
      <c r="A91" s="13" t="s">
        <v>298</v>
      </c>
    </row>
    <row r="93" spans="1:1">
      <c r="A93" t="s">
        <v>299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A81FF-2674-41E7-89FC-FBB1B526E069}">
  <sheetPr codeName="Sheet9"/>
  <dimension ref="A1:A75"/>
  <sheetViews>
    <sheetView topLeftCell="A28" workbookViewId="0">
      <selection activeCell="D6" sqref="D6"/>
    </sheetView>
  </sheetViews>
  <sheetFormatPr defaultRowHeight="14.4"/>
  <cols>
    <col min="1" max="1" width="182.5546875" bestFit="1" customWidth="1"/>
  </cols>
  <sheetData>
    <row r="1" spans="1:1">
      <c r="A1" t="s">
        <v>304</v>
      </c>
    </row>
    <row r="3" spans="1:1" ht="31.2">
      <c r="A3" s="29" t="s">
        <v>305</v>
      </c>
    </row>
    <row r="5" spans="1:1">
      <c r="A5" t="s">
        <v>306</v>
      </c>
    </row>
    <row r="7" spans="1:1">
      <c r="A7" t="s">
        <v>307</v>
      </c>
    </row>
    <row r="8" spans="1:1">
      <c r="A8" t="s">
        <v>69</v>
      </c>
    </row>
    <row r="9" spans="1:1">
      <c r="A9" t="s">
        <v>308</v>
      </c>
    </row>
    <row r="10" spans="1:1">
      <c r="A10" t="s">
        <v>71</v>
      </c>
    </row>
    <row r="11" spans="1:1">
      <c r="A11" t="s">
        <v>309</v>
      </c>
    </row>
    <row r="15" spans="1:1" ht="31.2">
      <c r="A15" s="29" t="s">
        <v>310</v>
      </c>
    </row>
    <row r="17" spans="1:1">
      <c r="A17" t="s">
        <v>311</v>
      </c>
    </row>
    <row r="19" spans="1:1">
      <c r="A19" t="s">
        <v>69</v>
      </c>
    </row>
    <row r="20" spans="1:1">
      <c r="A20" t="s">
        <v>312</v>
      </c>
    </row>
    <row r="21" spans="1:1">
      <c r="A21" t="s">
        <v>71</v>
      </c>
    </row>
    <row r="23" spans="1:1">
      <c r="A23" t="s">
        <v>313</v>
      </c>
    </row>
    <row r="24" spans="1:1">
      <c r="A24" s="11"/>
    </row>
    <row r="25" spans="1:1">
      <c r="A25" s="11" t="s">
        <v>314</v>
      </c>
    </row>
    <row r="26" spans="1:1">
      <c r="A26" s="11"/>
    </row>
    <row r="27" spans="1:1">
      <c r="A27" s="11" t="s">
        <v>315</v>
      </c>
    </row>
    <row r="28" spans="1:1">
      <c r="A28" s="11"/>
    </row>
    <row r="29" spans="1:1">
      <c r="A29" s="11" t="s">
        <v>316</v>
      </c>
    </row>
    <row r="30" spans="1:1">
      <c r="A30" s="11"/>
    </row>
    <row r="31" spans="1:1">
      <c r="A31" s="11" t="s">
        <v>317</v>
      </c>
    </row>
    <row r="33" spans="1:1">
      <c r="A33" s="12" t="s">
        <v>318</v>
      </c>
    </row>
    <row r="34" spans="1:1">
      <c r="A34" s="11"/>
    </row>
    <row r="35" spans="1:1">
      <c r="A35" s="11" t="s">
        <v>319</v>
      </c>
    </row>
    <row r="36" spans="1:1">
      <c r="A36" s="11"/>
    </row>
    <row r="37" spans="1:1">
      <c r="A37" s="11" t="s">
        <v>320</v>
      </c>
    </row>
    <row r="39" spans="1:1">
      <c r="A39" t="s">
        <v>321</v>
      </c>
    </row>
    <row r="40" spans="1:1">
      <c r="A40" s="11"/>
    </row>
    <row r="41" spans="1:1">
      <c r="A41" s="11" t="s">
        <v>322</v>
      </c>
    </row>
    <row r="42" spans="1:1">
      <c r="A42" s="22" t="s">
        <v>323</v>
      </c>
    </row>
    <row r="43" spans="1:1">
      <c r="A43" s="11"/>
    </row>
    <row r="44" spans="1:1">
      <c r="A44" s="11" t="s">
        <v>324</v>
      </c>
    </row>
    <row r="45" spans="1:1">
      <c r="A45" s="22" t="s">
        <v>325</v>
      </c>
    </row>
    <row r="47" spans="1:1">
      <c r="A47" t="s">
        <v>326</v>
      </c>
    </row>
    <row r="48" spans="1:1">
      <c r="A48" s="11"/>
    </row>
    <row r="49" spans="1:1">
      <c r="A49" s="11" t="s">
        <v>327</v>
      </c>
    </row>
    <row r="50" spans="1:1">
      <c r="A50" s="11"/>
    </row>
    <row r="51" spans="1:1">
      <c r="A51" s="11" t="s">
        <v>328</v>
      </c>
    </row>
    <row r="55" spans="1:1" ht="31.2">
      <c r="A55" s="29" t="s">
        <v>329</v>
      </c>
    </row>
    <row r="57" spans="1:1">
      <c r="A57" t="s">
        <v>330</v>
      </c>
    </row>
    <row r="58" spans="1:1">
      <c r="A58" t="s">
        <v>69</v>
      </c>
    </row>
    <row r="59" spans="1:1">
      <c r="A59" t="s">
        <v>331</v>
      </c>
    </row>
    <row r="60" spans="1:1">
      <c r="A60" t="s">
        <v>71</v>
      </c>
    </row>
    <row r="61" spans="1:1">
      <c r="A61" s="11"/>
    </row>
    <row r="62" spans="1:1">
      <c r="A62" s="11" t="s">
        <v>332</v>
      </c>
    </row>
    <row r="63" spans="1:1">
      <c r="A63" s="11" t="s">
        <v>333</v>
      </c>
    </row>
    <row r="67" spans="1:1" ht="23.4">
      <c r="A67" s="10" t="s">
        <v>334</v>
      </c>
    </row>
    <row r="68" spans="1:1">
      <c r="A68" s="11"/>
    </row>
    <row r="69" spans="1:1">
      <c r="A69" s="11" t="s">
        <v>335</v>
      </c>
    </row>
    <row r="70" spans="1:1">
      <c r="A70" s="11"/>
    </row>
    <row r="71" spans="1:1">
      <c r="A71" s="11" t="s">
        <v>336</v>
      </c>
    </row>
    <row r="72" spans="1:1">
      <c r="A72" s="11"/>
    </row>
    <row r="73" spans="1:1">
      <c r="A73" s="11" t="s">
        <v>337</v>
      </c>
    </row>
    <row r="75" spans="1:1">
      <c r="A75" t="s">
        <v>338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BFEE9-7E87-4FB4-BF55-3F9B73374EFF}">
  <sheetPr codeName="Sheet10"/>
  <dimension ref="A1:A51"/>
  <sheetViews>
    <sheetView workbookViewId="0">
      <selection activeCell="H18" sqref="H18"/>
    </sheetView>
  </sheetViews>
  <sheetFormatPr defaultRowHeight="14.4"/>
  <cols>
    <col min="1" max="1" width="137" bestFit="1" customWidth="1"/>
  </cols>
  <sheetData>
    <row r="1" spans="1:1">
      <c r="A1" t="s">
        <v>347</v>
      </c>
    </row>
    <row r="3" spans="1:1">
      <c r="A3" t="s">
        <v>69</v>
      </c>
    </row>
    <row r="4" spans="1:1">
      <c r="A4" t="s">
        <v>348</v>
      </c>
    </row>
    <row r="5" spans="1:1">
      <c r="A5" t="s">
        <v>71</v>
      </c>
    </row>
    <row r="7" spans="1:1">
      <c r="A7" t="s">
        <v>349</v>
      </c>
    </row>
    <row r="9" spans="1:1" ht="31.2">
      <c r="A9" s="29" t="s">
        <v>350</v>
      </c>
    </row>
    <row r="11" spans="1:1">
      <c r="A11" t="s">
        <v>351</v>
      </c>
    </row>
    <row r="13" spans="1:1">
      <c r="A13" t="s">
        <v>69</v>
      </c>
    </row>
    <row r="14" spans="1:1">
      <c r="A14" t="s">
        <v>352</v>
      </c>
    </row>
    <row r="15" spans="1:1">
      <c r="A15" t="s">
        <v>71</v>
      </c>
    </row>
    <row r="16" spans="1:1">
      <c r="A16" s="11"/>
    </row>
    <row r="17" spans="1:1">
      <c r="A17" s="11" t="s">
        <v>353</v>
      </c>
    </row>
    <row r="18" spans="1:1">
      <c r="A18" s="11"/>
    </row>
    <row r="19" spans="1:1">
      <c r="A19" s="11" t="s">
        <v>354</v>
      </c>
    </row>
    <row r="20" spans="1:1">
      <c r="A20" s="11"/>
    </row>
    <row r="21" spans="1:1">
      <c r="A21" s="11" t="s">
        <v>355</v>
      </c>
    </row>
    <row r="22" spans="1:1">
      <c r="A22" s="11"/>
    </row>
    <row r="23" spans="1:1">
      <c r="A23" s="11" t="s">
        <v>356</v>
      </c>
    </row>
    <row r="24" spans="1:1">
      <c r="A24" s="11"/>
    </row>
    <row r="25" spans="1:1">
      <c r="A25" s="11" t="s">
        <v>357</v>
      </c>
    </row>
    <row r="27" spans="1:1" ht="23.4">
      <c r="A27" s="10" t="s">
        <v>358</v>
      </c>
    </row>
    <row r="28" spans="1:1">
      <c r="A28" s="11"/>
    </row>
    <row r="29" spans="1:1">
      <c r="A29" s="11" t="s">
        <v>359</v>
      </c>
    </row>
    <row r="30" spans="1:1">
      <c r="A30" s="11"/>
    </row>
    <row r="31" spans="1:1">
      <c r="A31" s="11" t="s">
        <v>360</v>
      </c>
    </row>
    <row r="33" spans="1:1" ht="18">
      <c r="A33" s="14" t="s">
        <v>361</v>
      </c>
    </row>
    <row r="34" spans="1:1">
      <c r="A34" s="11"/>
    </row>
    <row r="35" spans="1:1">
      <c r="A35" s="22" t="s">
        <v>362</v>
      </c>
    </row>
    <row r="37" spans="1:1">
      <c r="A37" t="s">
        <v>363</v>
      </c>
    </row>
    <row r="38" spans="1:1">
      <c r="A38" s="11"/>
    </row>
    <row r="39" spans="1:1">
      <c r="A39" s="11" t="s">
        <v>364</v>
      </c>
    </row>
    <row r="40" spans="1:1">
      <c r="A40" s="11"/>
    </row>
    <row r="41" spans="1:1">
      <c r="A41" s="11" t="s">
        <v>365</v>
      </c>
    </row>
    <row r="42" spans="1:1">
      <c r="A42" s="11"/>
    </row>
    <row r="43" spans="1:1">
      <c r="A43" s="11" t="s">
        <v>366</v>
      </c>
    </row>
    <row r="45" spans="1:1" ht="18">
      <c r="A45" s="14" t="s">
        <v>367</v>
      </c>
    </row>
    <row r="46" spans="1:1">
      <c r="A46" s="11"/>
    </row>
    <row r="47" spans="1:1">
      <c r="A47" s="11" t="s">
        <v>368</v>
      </c>
    </row>
    <row r="48" spans="1:1">
      <c r="A48" s="11"/>
    </row>
    <row r="49" spans="1:1">
      <c r="A49" s="11" t="s">
        <v>369</v>
      </c>
    </row>
    <row r="51" spans="1:1">
      <c r="A51" t="s">
        <v>370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205E5-D241-41A0-BA6B-D2B7917226E1}">
  <sheetPr codeName="Sheet11"/>
  <dimension ref="A1:A73"/>
  <sheetViews>
    <sheetView workbookViewId="0">
      <selection activeCell="A16" sqref="A16"/>
    </sheetView>
  </sheetViews>
  <sheetFormatPr defaultRowHeight="14.4"/>
  <cols>
    <col min="1" max="1" width="169.5546875" bestFit="1" customWidth="1"/>
  </cols>
  <sheetData>
    <row r="1" spans="1:1">
      <c r="A1" t="s">
        <v>371</v>
      </c>
    </row>
    <row r="3" spans="1:1" ht="31.2">
      <c r="A3" s="29" t="s">
        <v>372</v>
      </c>
    </row>
    <row r="5" spans="1:1">
      <c r="A5" t="s">
        <v>373</v>
      </c>
    </row>
    <row r="6" spans="1:1">
      <c r="A6" t="s">
        <v>374</v>
      </c>
    </row>
    <row r="8" spans="1:1">
      <c r="A8" t="s">
        <v>69</v>
      </c>
    </row>
    <row r="9" spans="1:1">
      <c r="A9" t="s">
        <v>375</v>
      </c>
    </row>
    <row r="10" spans="1:1">
      <c r="A10" t="s">
        <v>71</v>
      </c>
    </row>
    <row r="11" spans="1:1">
      <c r="A11" s="11"/>
    </row>
    <row r="12" spans="1:1">
      <c r="A12" s="11" t="s">
        <v>376</v>
      </c>
    </row>
    <row r="13" spans="1:1">
      <c r="A13" s="11"/>
    </row>
    <row r="14" spans="1:1">
      <c r="A14" s="11" t="s">
        <v>377</v>
      </c>
    </row>
    <row r="16" spans="1:1" ht="31.2">
      <c r="A16" s="29" t="s">
        <v>378</v>
      </c>
    </row>
    <row r="17" spans="1:1">
      <c r="A17" s="11"/>
    </row>
    <row r="18" spans="1:1">
      <c r="A18" s="11" t="s">
        <v>379</v>
      </c>
    </row>
    <row r="19" spans="1:1">
      <c r="A19" s="11"/>
    </row>
    <row r="20" spans="1:1">
      <c r="A20" s="11"/>
    </row>
    <row r="21" spans="1:1">
      <c r="A21" s="15"/>
    </row>
    <row r="22" spans="1:1">
      <c r="A22" s="15" t="s">
        <v>380</v>
      </c>
    </row>
    <row r="23" spans="1:1">
      <c r="A23" s="11"/>
    </row>
    <row r="24" spans="1:1">
      <c r="A24" s="11" t="s">
        <v>381</v>
      </c>
    </row>
    <row r="25" spans="1:1">
      <c r="A25" s="11"/>
    </row>
    <row r="26" spans="1:1">
      <c r="A26" s="11" t="s">
        <v>382</v>
      </c>
    </row>
    <row r="28" spans="1:1">
      <c r="A28" t="s">
        <v>69</v>
      </c>
    </row>
    <row r="29" spans="1:1">
      <c r="A29" t="s">
        <v>383</v>
      </c>
    </row>
    <row r="30" spans="1:1">
      <c r="A30" t="s">
        <v>71</v>
      </c>
    </row>
    <row r="31" spans="1:1">
      <c r="A31" s="11"/>
    </row>
    <row r="32" spans="1:1">
      <c r="A32" s="11" t="s">
        <v>384</v>
      </c>
    </row>
    <row r="34" spans="1:1" ht="31.2">
      <c r="A34" s="29" t="s">
        <v>385</v>
      </c>
    </row>
    <row r="35" spans="1:1">
      <c r="A35" s="11"/>
    </row>
    <row r="36" spans="1:1">
      <c r="A36" s="13" t="s">
        <v>386</v>
      </c>
    </row>
    <row r="37" spans="1:1">
      <c r="A37" s="11" t="s">
        <v>387</v>
      </c>
    </row>
    <row r="38" spans="1:1">
      <c r="A38" s="11"/>
    </row>
    <row r="39" spans="1:1">
      <c r="A39" s="13" t="s">
        <v>388</v>
      </c>
    </row>
    <row r="40" spans="1:1">
      <c r="A40" s="11" t="s">
        <v>389</v>
      </c>
    </row>
    <row r="41" spans="1:1">
      <c r="A41" s="11"/>
    </row>
    <row r="42" spans="1:1">
      <c r="A42" s="13" t="s">
        <v>390</v>
      </c>
    </row>
    <row r="43" spans="1:1">
      <c r="A43" s="11" t="s">
        <v>391</v>
      </c>
    </row>
    <row r="45" spans="1:1" ht="31.2">
      <c r="A45" s="29" t="s">
        <v>392</v>
      </c>
    </row>
    <row r="46" spans="1:1">
      <c r="A46" s="11"/>
    </row>
    <row r="47" spans="1:1">
      <c r="A47" s="13" t="s">
        <v>393</v>
      </c>
    </row>
    <row r="48" spans="1:1">
      <c r="A48" s="11"/>
    </row>
    <row r="49" spans="1:1">
      <c r="A49" s="13" t="s">
        <v>394</v>
      </c>
    </row>
    <row r="50" spans="1:1">
      <c r="A50" s="11"/>
    </row>
    <row r="51" spans="1:1">
      <c r="A51" s="11"/>
    </row>
    <row r="52" spans="1:1">
      <c r="A52" s="15"/>
    </row>
    <row r="53" spans="1:1">
      <c r="A53" s="15" t="s">
        <v>395</v>
      </c>
    </row>
    <row r="54" spans="1:1">
      <c r="A54" s="15" t="s">
        <v>396</v>
      </c>
    </row>
    <row r="55" spans="1:1">
      <c r="A55" s="15"/>
    </row>
    <row r="56" spans="1:1">
      <c r="A56" s="15" t="s">
        <v>397</v>
      </c>
    </row>
    <row r="57" spans="1:1">
      <c r="A57" s="15"/>
    </row>
    <row r="58" spans="1:1">
      <c r="A58" s="15" t="s">
        <v>398</v>
      </c>
    </row>
    <row r="59" spans="1:1">
      <c r="A59" s="11"/>
    </row>
    <row r="60" spans="1:1">
      <c r="A60" s="11" t="s">
        <v>399</v>
      </c>
    </row>
    <row r="62" spans="1:1" ht="31.2">
      <c r="A62" s="29" t="s">
        <v>400</v>
      </c>
    </row>
    <row r="63" spans="1:1">
      <c r="A63" s="11"/>
    </row>
    <row r="64" spans="1:1">
      <c r="A64" s="11" t="s">
        <v>401</v>
      </c>
    </row>
    <row r="65" spans="1:1">
      <c r="A65" s="11" t="s">
        <v>402</v>
      </c>
    </row>
    <row r="67" spans="1:1" ht="31.2">
      <c r="A67" s="29" t="s">
        <v>403</v>
      </c>
    </row>
    <row r="68" spans="1:1">
      <c r="A68" s="11"/>
    </row>
    <row r="69" spans="1:1">
      <c r="A69" s="13" t="s">
        <v>404</v>
      </c>
    </row>
    <row r="70" spans="1:1">
      <c r="A70" s="11"/>
    </row>
    <row r="71" spans="1:1">
      <c r="A71" s="11" t="s">
        <v>405</v>
      </c>
    </row>
    <row r="73" spans="1:1">
      <c r="A73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Inputs</vt:lpstr>
      <vt:lpstr>Connectors</vt:lpstr>
      <vt:lpstr>Results</vt:lpstr>
      <vt:lpstr>ResultExplain</vt:lpstr>
      <vt:lpstr>tributary_width_ft</vt:lpstr>
      <vt:lpstr>psf</vt:lpstr>
      <vt:lpstr>Fc_axis_prime</vt:lpstr>
      <vt:lpstr>roof_uplift_psf</vt:lpstr>
      <vt:lpstr>uplift_area_per_post_ft2</vt:lpstr>
      <vt:lpstr>lateral_line_load_plf</vt:lpstr>
      <vt:lpstr>wind_wall_psf</vt:lpstr>
      <vt:lpstr>post_to_beam_arm_in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 ichigo</dc:creator>
  <cp:lastModifiedBy>masa ichigo</cp:lastModifiedBy>
  <dcterms:created xsi:type="dcterms:W3CDTF">2025-09-30T02:30:27Z</dcterms:created>
  <dcterms:modified xsi:type="dcterms:W3CDTF">2025-09-30T23:28:28Z</dcterms:modified>
</cp:coreProperties>
</file>