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CC31FC25-CDD6-43E5-924B-983836AD56DC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tributary_width_ft" sheetId="4" r:id="rId4"/>
    <sheet name="psf" sheetId="5" r:id="rId5"/>
    <sheet name="Fc_axis_prime" sheetId="6" r:id="rId6"/>
    <sheet name="roof_uplift_psf" sheetId="7" r:id="rId7"/>
    <sheet name="uplift_area_per_post_ft2" sheetId="8" r:id="rId8"/>
    <sheet name="lateral_line_load_plf" sheetId="9" r:id="rId9"/>
    <sheet name="wind_wall_psf" sheetId="10" r:id="rId10"/>
    <sheet name="post_to_beam_arm_in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/>
  <c r="B28" i="1"/>
  <c r="B27" i="1"/>
  <c r="B26" i="1"/>
  <c r="G30" i="1"/>
  <c r="B2" i="1"/>
  <c r="B12" i="1"/>
  <c r="H8" i="1"/>
  <c r="H12" i="1"/>
  <c r="B3" i="1"/>
  <c r="H2" i="1"/>
  <c r="G26" i="1"/>
  <c r="I28" i="1"/>
  <c r="H28" i="1"/>
  <c r="E30" i="1"/>
  <c r="O26" i="1"/>
  <c r="N26" i="1"/>
  <c r="A61" i="7"/>
  <c r="A65" i="7"/>
  <c r="A69" i="7"/>
  <c r="A73" i="7"/>
  <c r="A77" i="7"/>
  <c r="F30" i="1" l="1"/>
  <c r="P26" i="1"/>
  <c r="Q26" i="1" s="1"/>
  <c r="B2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<sst xmlns="http://schemas.openxmlformats.org/spreadsheetml/2006/main" count="603" uniqueCount="498">
  <si>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</si>
  <si>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</si>
  <si>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</si>
  <si>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</si>
  <si>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</si>
  <si>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</si>
  <si>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</si>
  <si>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</si>
  <si>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</si>
  <si>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</si>
  <si>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</si>
  <si>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</si>
  <si>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</si>
  <si>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</si>
  <si>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</si>
  <si>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</si>
  <si>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</si>
  <si>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</si>
  <si>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</si>
  <si>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</si>
  <si>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</si>
  <si>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</si>
  <si>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</si>
  <si>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</si>
  <si>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</si>
  <si>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</si>
  <si>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</si>
  <si>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</si>
  <si>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</si>
  <si>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</si>
  <si>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</si>
  <si>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</si>
  <si>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</si>
  <si>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</si>
  <si>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</si>
  <si>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</si>
  <si>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</si>
  <si>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</si>
  <si>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</si>
  <si>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</si>
  <si>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</si>
  <si>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</si>
  <si>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</si>
  <si>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</si>
  <si>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</si>
  <si>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</si>
  <si>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</si>
  <si>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</si>
  <si>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</si>
  <si>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</si>
  <si>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</si>
  <si>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</si>
  <si>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</si>
  <si>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</si>
  <si>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</si>
  <si>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</si>
  <si>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</si>
  <si>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</si>
  <si>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</si>
  <si>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</si>
  <si>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</si>
  <si>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</si>
  <si>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</si>
  <si>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</si>
  <si>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</si>
  <si>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</si>
  <si>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</si>
  <si>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</si>
  <si>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</si>
  <si>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</si>
  <si>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</si>
  <si>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</si>
  <si>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</si>
  <si>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</si>
  <si>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</si>
  <si>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</si>
  <si>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</si>
  <si>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</si>
  <si>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</si>
  <si>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</si>
  <si>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</si>
  <si>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</si>
  <si>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</si>
  <si>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</si>
  <si>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</si>
  <si>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</si>
  <si>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</si>
  <si>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</si>
  <si>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</si>
  <si>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</si>
  <si>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</si>
  <si>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</si>
  <si>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</si>
  <si>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</si>
  <si>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</si>
  <si>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</si>
  <si>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</si>
  <si>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</si>
  <si>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</si>
  <si>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</si>
  <si>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</si>
  <si>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</si>
  <si>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</si>
  <si>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</si>
  <si>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</si>
  <si>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</si>
  <si>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</si>
  <si>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</si>
  <si>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</si>
  <si>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</si>
  <si>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</si>
  <si>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</si>
  <si>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</si>
  <si>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</si>
  <si>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</si>
  <si>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</si>
  <si>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</si>
  <si>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</si>
  <si>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</si>
  <si>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</si>
  <si>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</si>
  <si>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</si>
  <si>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</si>
  <si>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</si>
  <si>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</si>
  <si>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</si>
  <si>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</si>
  <si>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</si>
  <si>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</si>
  <si>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</si>
  <si>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</si>
  <si>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</si>
  <si>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</si>
  <si>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</si>
  <si>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</si>
  <si>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</si>
  <si>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</si>
  <si>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</si>
  <si>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</si>
  <si>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</si>
  <si>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</si>
  <si>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</si>
  <si>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</si>
  <si>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</si>
  <si>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</si>
  <si>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</si>
  <si>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</si>
  <si>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</si>
  <si>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</si>
  <si>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</si>
  <si>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</si>
  <si>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</si>
  <si>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</si>
  <si>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</si>
  <si>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</si>
  <si>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</si>
  <si>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</si>
  <si>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</si>
  <si>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</si>
  <si>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</si>
  <si>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</si>
  <si>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</si>
  <si>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</si>
  <si>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</si>
  <si>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</si>
  <si>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</si>
  <si>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</si>
  <si>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</si>
  <si>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</si>
  <si>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</si>
  <si>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</si>
  <si>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</si>
  <si>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</si>
  <si>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</si>
  <si>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</si>
  <si>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</si>
  <si>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</si>
  <si>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</si>
  <si>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</si>
  <si>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</si>
  <si>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</si>
  <si>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</si>
  <si>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</si>
  <si>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</si>
  <si>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</si>
  <si>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</si>
  <si>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</si>
  <si>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</si>
  <si>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</si>
  <si>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</si>
  <si>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</si>
  <si>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</si>
  <si>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</si>
  <si>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</si>
  <si>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</si>
  <si>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</si>
  <si>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</si>
  <si>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</si>
  <si>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</si>
  <si>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</si>
  <si>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</si>
  <si>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</si>
  <si>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</si>
  <si>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</si>
  <si>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</si>
  <si>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</si>
  <si>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</si>
  <si>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</si>
  <si>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</si>
  <si>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</si>
  <si>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</si>
  <si>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</si>
  <si>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</si>
  <si>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</si>
  <si>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</si>
  <si>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</si>
  <si>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</si>
  <si>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</si>
  <si>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</si>
  <si>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</si>
  <si>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</si>
  <si>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</si>
  <si>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</si>
  <si>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</si>
  <si>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</si>
  <si>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</si>
  <si>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</si>
  <si>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</si>
  <si>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</si>
  <si>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</si>
  <si>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</si>
  <si>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</si>
  <si>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</si>
  <si>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</si>
  <si>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</si>
  <si>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</si>
  <si>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</si>
  <si>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</si>
  <si>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</si>
  <si>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</si>
  <si>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</si>
  <si>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</si>
  <si>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</si>
  <si>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</si>
  <si>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</si>
  <si>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</si>
  <si>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</si>
  <si>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</si>
  <si>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</si>
  <si>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</si>
  <si>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</si>
  <si>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</si>
  <si>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</si>
  <si>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</si>
  <si>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</si>
  <si>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</si>
  <si>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</si>
  <si>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</si>
  <si>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</si>
  <si>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</si>
  <si>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</si>
  <si>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</si>
  <si>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</si>
  <si>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</si>
  <si>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</si>
  <si>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</si>
  <si>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</si>
  <si>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</si>
  <si>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</si>
  <si>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</si>
  <si>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</si>
  <si>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</si>
  <si>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</si>
  <si>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</si>
  <si>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</si>
  <si>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</si>
  <si>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</si>
  <si>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</si>
  <si>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</si>
  <si>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</si>
  <si>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</si>
  <si>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</si>
  <si>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</si>
  <si>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</si>
  <si>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</si>
  <si>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</si>
  <si>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</si>
  <si>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</si>
  <si>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</si>
  <si>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</si>
  <si>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</si>
  <si>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</si>
  <si>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</si>
  <si>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</si>
  <si>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</si>
  <si>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</si>
  <si>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</si>
  <si>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</si>
  <si>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</si>
  <si>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</si>
  <si>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</si>
  <si>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</si>
  <si>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</si>
  <si>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</si>
  <si>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</si>
  <si>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</si>
  <si>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</si>
  <si>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</si>
  <si>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</si>
  <si>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</si>
  <si>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</si>
  <si>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</si>
  <si>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</si>
  <si>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</si>
  <si>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</si>
  <si>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</si>
  <si>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</si>
  <si>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</si>
  <si>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</si>
  <si>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</si>
  <si>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</si>
  <si>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</si>
  <si>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</si>
  <si>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</si>
  <si>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</si>
  <si>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</si>
  <si>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</si>
  <si>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</si>
  <si>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</si>
  <si>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</si>
  <si>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</si>
  <si>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</si>
  <si>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</si>
  <si>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</si>
  <si>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</si>
  <si>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</si>
  <si>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</si>
  <si>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</si>
  <si>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</si>
  <si>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</si>
  <si>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</si>
  <si>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</si>
  <si>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</si>
  <si>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</si>
  <si>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</si>
  <si>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</si>
  <si>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</si>
  <si>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</si>
  <si>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</si>
  <si>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</si>
  <si>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</si>
  <si>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</si>
  <si>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</si>
  <si>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</si>
  <si>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</si>
  <si>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</si>
  <si>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</si>
  <si>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</si>
  <si>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</si>
  <si>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</si>
  <si>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</si>
  <si>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</si>
  <si>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</si>
  <si>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</si>
  <si>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</si>
  <si>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</si>
  <si>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</si>
  <si>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</si>
  <si>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</si>
  <si>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</si>
  <si>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</si>
  <si>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</si>
  <si>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</si>
  <si>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</si>
  <si>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</si>
  <si>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</si>
  <si>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</si>
  <si>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</si>
  <si>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</si>
  <si>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</si>
  <si>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</si>
  <si>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</si>
  <si>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</si>
  <si>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</si>
  <si>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</si>
  <si>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</si>
  <si>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</si>
  <si>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</si>
  <si>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</si>
  <si>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</si>
  <si>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</si>
  <si>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</si>
  <si>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</si>
  <si>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</si>
  <si>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</si>
  <si>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</si>
  <si>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</si>
  <si>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</si>
  <si>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</si>
  <si>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</si>
  <si>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</si>
  <si>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</si>
  <si>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</si>
  <si>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</si>
  <si>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</si>
  <si>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</si>
  <si>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</si>
  <si>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</si>
  <si>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</si>
  <si>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</si>
  <si>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</si>
  <si>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</si>
  <si>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</si>
  <si>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</si>
  <si>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</si>
  <si>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</si>
  <si>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</si>
  <si>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</si>
  <si>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</si>
  <si>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</si>
  <si>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</si>
  <si>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</si>
  <si>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</si>
  <si>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</si>
  <si>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</si>
  <si>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</si>
  <si>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</si>
  <si>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</si>
  <si>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</si>
  <si>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</si>
  <si>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</si>
  <si>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</si>
  <si>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</si>
  <si>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</si>
  <si>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</si>
  <si>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</si>
  <si>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</si>
  <si>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</si>
  <si>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</si>
  <si>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</si>
  <si>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</si>
  <si>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</si>
  <si>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</si>
  <si>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</si>
  <si>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</si>
  <si>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q = DL + SL + LL = 3.75 + 30.0 + 10.0 = 43.750 psf</t>
  </si>
  <si>
    <t>w = q × tributary_width = 43.750 × 4.750 = 207.812 plf</t>
  </si>
  <si>
    <t>S = b d² / 6 = 6.000×8.000²/6 = 64.000 in³</t>
  </si>
  <si>
    <t>I = b d³ / 12 = 6.000×8.000³/12 = 256.000 in⁴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</si>
  <si>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</si>
  <si>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</si>
  <si>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</si>
  <si>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</si>
  <si>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</si>
  <si>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</si>
  <si>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</si>
  <si>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</si>
  <si>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</si>
  <si>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</si>
  <si>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</si>
  <si>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</si>
  <si>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</si>
  <si>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</si>
  <si>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</si>
  <si>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</si>
  <si>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</si>
  <si>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</si>
  <si>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</si>
  <si>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</si>
  <si>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</si>
  <si>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</si>
  <si>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</si>
  <si>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</si>
  <si>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</si>
  <si>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</si>
  <si>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</si>
  <si>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</si>
  <si>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</si>
  <si>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</si>
  <si>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</si>
  <si>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</si>
  <si>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</si>
  <si>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</si>
  <si>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</si>
  <si>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</si>
  <si>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</si>
  <si>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Mmax = w L² / 8 = 17.318 × 108.0² / 8 = 25249.2 lb·in</t>
  </si>
  <si>
    <t>Vmax = w_plf × L / 2 = 207.812 × 9.000 / 2 = 935.2 lb</t>
  </si>
  <si>
    <t>bearing = R/A = 935.2/36.000 = 26.0 psi  (Fc⊥'=565)</t>
  </si>
  <si>
    <t>Bending:   PASS</t>
  </si>
  <si>
    <t>Deflection:PASS</t>
  </si>
  <si>
    <t>Lateral 'span_long_for_depth_watch_deflection': OK</t>
  </si>
  <si>
    <t>V_struct = Reaction(post) + Post self-weight = 935.2 + 0.0 = 935.2 lb</t>
  </si>
  <si>
    <t>Bearing: q_actual=935 psf vs q_allow_eff=1500 psf -&gt; PASS</t>
  </si>
  <si>
    <t>Sliding: H=0 lb vs μ·V_eff/SF=0.50·1175/1.50=392 lb -&gt; PASS</t>
  </si>
  <si>
    <t>fb = M/S = 25249.2/64.000 = 394.5 psi  (Fb'=850)</t>
  </si>
  <si>
    <t>fv = 1.5V/(bd) = 1.5×935.2/(6.000×8.000) = 29.2 psi  (Fv'=135)</t>
  </si>
  <si>
    <t>Δ = 5 w L⁴/(384 E I) = 0.109 in  (limit L/240 = 0.450 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</si>
</sst>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wrapTex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3" fillId="0" borderId="0" xfId="0" applyFont="1" applyAlignment="1">
      <alignment vertical="center"/>
    </xf>
    <xf numFmtId="0" fontId="0" fillId="2" borderId="2" xfId="0" applyFill="1" applyBorder="1"/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ree.bcpublications.ca/civix/document/id/public/bcbc2018/bcbc_2018dbac?utm_source=chatgpt.com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tabSelected="1" workbookViewId="0">
      <selection activeCell="B6" sqref="B6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18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32">
        <f>H15/(H14-1)</f>
        <v>9</v>
      </c>
      <c r="C2" s="9" t="s">
        <v>84</v>
      </c>
      <c r="G2" s="12" t="s">
        <v>3</v>
      </c>
      <c r="H2" s="33">
        <f>IF(H6,H3/2+H5,((H3+H4)/2))</f>
        <v>4.75</v>
      </c>
    </row>
    <row r="3" spans="1:9">
      <c r="A3" s="2" t="s">
        <v>3</v>
      </c>
      <c r="B3" s="32">
        <f>H2</f>
        <v>4.75</v>
      </c>
      <c r="C3" s="9" t="s">
        <v>84</v>
      </c>
      <c r="D3" s="16" t="s">
        <v>87</v>
      </c>
      <c r="G3" t="s">
        <v>476</v>
      </c>
      <c r="H3" s="34">
        <v>7.5</v>
      </c>
    </row>
    <row r="4" spans="1:9">
      <c r="A4" s="2" t="s">
        <v>4</v>
      </c>
      <c r="B4" s="3">
        <v>6</v>
      </c>
      <c r="C4" s="9" t="s">
        <v>84</v>
      </c>
      <c r="G4" t="s">
        <v>477</v>
      </c>
      <c r="H4" s="34">
        <v>7.5</v>
      </c>
    </row>
    <row r="5" spans="1:9">
      <c r="A5" s="2" t="s">
        <v>5</v>
      </c>
      <c r="B5" s="3">
        <v>8</v>
      </c>
      <c r="C5" s="9" t="s">
        <v>84</v>
      </c>
      <c r="G5" t="s">
        <v>478</v>
      </c>
      <c r="H5" s="34">
        <v>1</v>
      </c>
    </row>
    <row r="6" spans="1:9">
      <c r="A6" s="2" t="s">
        <v>6</v>
      </c>
      <c r="B6" s="3">
        <v>96</v>
      </c>
      <c r="C6" s="9" t="s">
        <v>84</v>
      </c>
      <c r="G6" t="s">
        <v>479</v>
      </c>
      <c r="H6" s="34" t="b">
        <v>1</v>
      </c>
      <c r="I6" t="s">
        <v>480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2">
        <v>850</v>
      </c>
      <c r="C8" s="9" t="s">
        <v>85</v>
      </c>
      <c r="G8" s="12" t="s">
        <v>12</v>
      </c>
      <c r="H8" s="33">
        <f>H9/H12</f>
        <v>3.75</v>
      </c>
    </row>
    <row r="9" spans="1:9">
      <c r="A9" s="2" t="s">
        <v>9</v>
      </c>
      <c r="B9" s="32">
        <v>135</v>
      </c>
      <c r="C9" s="9" t="s">
        <v>85</v>
      </c>
      <c r="G9" t="s">
        <v>481</v>
      </c>
      <c r="H9" s="34">
        <v>1200</v>
      </c>
    </row>
    <row r="10" spans="1:9">
      <c r="A10" s="2" t="s">
        <v>10</v>
      </c>
      <c r="B10" s="32">
        <v>565</v>
      </c>
      <c r="C10" s="9" t="s">
        <v>85</v>
      </c>
      <c r="G10" t="s">
        <v>482</v>
      </c>
      <c r="H10" s="34">
        <v>16</v>
      </c>
    </row>
    <row r="11" spans="1:9">
      <c r="A11" s="2" t="s">
        <v>11</v>
      </c>
      <c r="B11" s="32">
        <v>1100000</v>
      </c>
      <c r="C11" s="9" t="s">
        <v>85</v>
      </c>
      <c r="G11" t="s">
        <v>483</v>
      </c>
      <c r="H11" s="34">
        <v>20</v>
      </c>
    </row>
    <row r="12" spans="1:9">
      <c r="A12" s="2" t="s">
        <v>12</v>
      </c>
      <c r="B12" s="32">
        <f>H8</f>
        <v>3.75</v>
      </c>
      <c r="C12" s="9" t="s">
        <v>86</v>
      </c>
      <c r="D12" s="16" t="s">
        <v>88</v>
      </c>
      <c r="G12" t="s">
        <v>484</v>
      </c>
      <c r="H12" s="35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4">
        <v>3</v>
      </c>
    </row>
    <row r="15" spans="1:9">
      <c r="A15" s="2" t="s">
        <v>15</v>
      </c>
      <c r="B15" s="3">
        <v>240</v>
      </c>
      <c r="C15" s="9" t="s">
        <v>86</v>
      </c>
      <c r="G15" t="s">
        <v>485</v>
      </c>
      <c r="H15" s="34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</row>
    <row r="18" spans="1:17">
      <c r="A18" s="2" t="s">
        <v>18</v>
      </c>
      <c r="B18" s="3">
        <v>6</v>
      </c>
      <c r="C18" s="9" t="s">
        <v>158</v>
      </c>
    </row>
    <row r="19" spans="1:17">
      <c r="A19" s="2" t="s">
        <v>19</v>
      </c>
      <c r="B19" s="3" t="s">
        <v>20</v>
      </c>
      <c r="C19" s="9" t="s">
        <v>200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4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8">
        <f>F30/G30</f>
        <v>14.25</v>
      </c>
      <c r="C25" s="6" t="s">
        <v>203</v>
      </c>
      <c r="D25" s="27" t="s">
        <v>300</v>
      </c>
      <c r="E25" s="8" t="s">
        <v>251</v>
      </c>
      <c r="F25" s="8" t="s">
        <v>252</v>
      </c>
      <c r="G25" s="8" t="s">
        <v>253</v>
      </c>
      <c r="H25" s="23" t="s">
        <v>254</v>
      </c>
      <c r="I25" s="23" t="s">
        <v>255</v>
      </c>
      <c r="J25" s="23" t="s">
        <v>256</v>
      </c>
      <c r="K25" s="23" t="s">
        <v>257</v>
      </c>
      <c r="L25" s="23" t="s">
        <v>258</v>
      </c>
      <c r="M25" s="23" t="s">
        <v>259</v>
      </c>
      <c r="N25" s="8" t="s">
        <v>260</v>
      </c>
      <c r="O25" s="8" t="s">
        <v>261</v>
      </c>
      <c r="P25" s="8" t="s">
        <v>262</v>
      </c>
      <c r="Q25" s="8" t="s">
        <v>263</v>
      </c>
    </row>
    <row r="26" spans="1:17" ht="15" thickBot="1">
      <c r="A26" s="4" t="s">
        <v>25</v>
      </c>
      <c r="B26" s="24">
        <f>I28*G26</f>
        <v>7.1844400000000013</v>
      </c>
      <c r="C26" s="9" t="s">
        <v>203</v>
      </c>
      <c r="D26" s="20" t="s">
        <v>339</v>
      </c>
      <c r="E26" s="30">
        <v>0.43</v>
      </c>
      <c r="F26">
        <v>1</v>
      </c>
      <c r="G26">
        <f>B28</f>
        <v>0.5</v>
      </c>
      <c r="H26">
        <v>1</v>
      </c>
      <c r="I26">
        <v>2</v>
      </c>
      <c r="J26">
        <v>0.5</v>
      </c>
      <c r="K26">
        <v>1</v>
      </c>
      <c r="L26">
        <v>2</v>
      </c>
      <c r="M26">
        <v>0.15</v>
      </c>
      <c r="N26">
        <f>F26*E26*G26*H26*I26*J26</f>
        <v>0.215</v>
      </c>
      <c r="O26">
        <f>F26*E26*K26*H26*L26*M26</f>
        <v>0.129</v>
      </c>
      <c r="P26">
        <f>N26-O26</f>
        <v>8.5999999999999993E-2</v>
      </c>
      <c r="Q26">
        <f>P26*20.885</f>
        <v>1.7961100000000001</v>
      </c>
    </row>
    <row r="27" spans="1:17" ht="28.8">
      <c r="A27" s="4" t="s">
        <v>26</v>
      </c>
      <c r="B27" s="24">
        <f>I28*G26</f>
        <v>7.1844400000000013</v>
      </c>
      <c r="C27" s="9" t="s">
        <v>203</v>
      </c>
      <c r="D27" s="16" t="s">
        <v>340</v>
      </c>
      <c r="E27" t="s">
        <v>342</v>
      </c>
      <c r="F27" t="s">
        <v>343</v>
      </c>
      <c r="G27" t="s">
        <v>344</v>
      </c>
      <c r="H27" t="s">
        <v>345</v>
      </c>
      <c r="I27" s="23" t="s">
        <v>346</v>
      </c>
    </row>
    <row r="28" spans="1:17">
      <c r="A28" s="4" t="s">
        <v>27</v>
      </c>
      <c r="B28" s="5">
        <f>0.5</f>
        <v>0.5</v>
      </c>
      <c r="C28" s="9" t="s">
        <v>203</v>
      </c>
      <c r="E28">
        <v>1</v>
      </c>
      <c r="F28">
        <v>1</v>
      </c>
      <c r="G28">
        <v>0.8</v>
      </c>
      <c r="H28">
        <f>E26*20.885</f>
        <v>8.9805500000000009</v>
      </c>
      <c r="I28">
        <f>H28*E28*F28*I26*G28</f>
        <v>14.368880000000003</v>
      </c>
    </row>
    <row r="29" spans="1:17" ht="43.8" thickBot="1">
      <c r="A29" s="4" t="s">
        <v>30</v>
      </c>
      <c r="B29" s="5">
        <v>3</v>
      </c>
      <c r="C29" s="9" t="s">
        <v>203</v>
      </c>
      <c r="D29" s="16" t="s">
        <v>341</v>
      </c>
      <c r="E29" t="s">
        <v>301</v>
      </c>
      <c r="F29" s="23" t="s">
        <v>302</v>
      </c>
      <c r="G29" t="s">
        <v>303</v>
      </c>
    </row>
    <row r="30" spans="1:17" ht="15" thickBot="1">
      <c r="A30" s="4" t="s">
        <v>407</v>
      </c>
      <c r="B30" s="5">
        <v>12</v>
      </c>
      <c r="C30" s="9" t="s">
        <v>413</v>
      </c>
      <c r="E30">
        <f>B3</f>
        <v>4.75</v>
      </c>
      <c r="F30">
        <f>E30*B2</f>
        <v>42.75</v>
      </c>
      <c r="G30" s="30">
        <f>H14</f>
        <v>3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5">
        <v>1500</v>
      </c>
      <c r="C34" s="9" t="s">
        <v>414</v>
      </c>
    </row>
    <row r="35" spans="1:3">
      <c r="A35" s="4" t="s">
        <v>412</v>
      </c>
      <c r="B35" s="5">
        <v>120</v>
      </c>
      <c r="C35" s="9" t="s">
        <v>414</v>
      </c>
    </row>
    <row r="36" spans="1:3">
      <c r="A36" s="4" t="s">
        <v>424</v>
      </c>
      <c r="B36" s="5">
        <v>150</v>
      </c>
      <c r="C36" s="9" t="s">
        <v>414</v>
      </c>
    </row>
    <row r="37" spans="1:3">
      <c r="A37" s="4" t="s">
        <v>415</v>
      </c>
      <c r="B37" s="5">
        <v>0.5</v>
      </c>
      <c r="C37" s="9" t="s">
        <v>419</v>
      </c>
    </row>
    <row r="38" spans="1:3">
      <c r="A38" s="4" t="s">
        <v>416</v>
      </c>
      <c r="B38" s="5">
        <v>1</v>
      </c>
      <c r="C38" s="9" t="s">
        <v>419</v>
      </c>
    </row>
    <row r="39" spans="1:3">
      <c r="A39" s="4" t="s">
        <v>417</v>
      </c>
      <c r="B39" s="5">
        <v>1.5</v>
      </c>
      <c r="C39" s="9" t="s">
        <v>419</v>
      </c>
    </row>
    <row r="40" spans="1:3">
      <c r="A40" s="4" t="s">
        <v>418</v>
      </c>
      <c r="B40" s="5">
        <v>1.5</v>
      </c>
      <c r="C40" s="9" t="s">
        <v>419</v>
      </c>
    </row>
    <row r="41" spans="1:3">
      <c r="A41" s="4" t="s">
        <v>420</v>
      </c>
      <c r="B41" s="5">
        <v>0</v>
      </c>
      <c r="C41" s="9" t="s">
        <v>421</v>
      </c>
    </row>
    <row r="42" spans="1:3">
      <c r="A42" s="4" t="s">
        <v>423</v>
      </c>
      <c r="B42" s="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workbookViewId="0">
      <selection activeCell="C15" sqref="C15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207.8</v>
      </c>
      <c r="G4" s="11"/>
    </row>
    <row r="5" spans="1:7">
      <c r="A5" t="s">
        <v>430</v>
      </c>
      <c r="B5" s="31">
        <v>935</v>
      </c>
      <c r="G5" s="11"/>
    </row>
    <row r="6" spans="1:7">
      <c r="A6" t="s">
        <v>431</v>
      </c>
      <c r="B6" s="31">
        <v>395</v>
      </c>
      <c r="C6" t="s">
        <v>433</v>
      </c>
      <c r="G6" s="11"/>
    </row>
    <row r="7" spans="1:7">
      <c r="A7" t="s">
        <v>432</v>
      </c>
      <c r="B7">
        <v>29</v>
      </c>
      <c r="C7" t="s">
        <v>433</v>
      </c>
      <c r="G7" s="11"/>
    </row>
    <row r="8" spans="1:7">
      <c r="A8" t="s">
        <v>434</v>
      </c>
      <c r="B8">
        <v>26</v>
      </c>
      <c r="C8" t="s">
        <v>433</v>
      </c>
    </row>
    <row r="9" spans="1:7">
      <c r="A9" t="s">
        <v>435</v>
      </c>
      <c r="B9">
        <v>0.109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445</v>
      </c>
      <c r="G19" s="11"/>
    </row>
    <row r="20" spans="1:7">
      <c r="A20" t="s">
        <v>446</v>
      </c>
      <c r="G20" s="11"/>
    </row>
    <row r="21" spans="1:7">
      <c r="A21" t="s">
        <v>447</v>
      </c>
      <c r="G21" s="11"/>
    </row>
    <row r="22" spans="1:7">
      <c r="A22" t="s">
        <v>448</v>
      </c>
      <c r="G22" s="15"/>
    </row>
    <row r="23" spans="1:7">
      <c r="A23" t="s">
        <v>486</v>
      </c>
      <c r="G23" s="15"/>
    </row>
    <row r="24" spans="1:7">
      <c r="A24" t="s">
        <v>487</v>
      </c>
      <c r="G24" s="15"/>
    </row>
    <row r="25" spans="1:7">
      <c r="A25" t="s">
        <v>495</v>
      </c>
      <c r="G25" s="15"/>
    </row>
    <row r="26" spans="1:7">
      <c r="A26" t="s">
        <v>496</v>
      </c>
      <c r="G26" s="15"/>
    </row>
    <row r="27" spans="1:7">
      <c r="A27" t="s">
        <v>488</v>
      </c>
      <c r="G27" s="15"/>
    </row>
    <row r="28" spans="1:7">
      <c r="A28" t="s">
        <v>497</v>
      </c>
      <c r="G28" s="15"/>
    </row>
    <row r="29" spans="1:7">
      <c r="A29" t="s">
        <v>489</v>
      </c>
      <c r="G29" s="15"/>
    </row>
    <row r="30" spans="1:7">
      <c r="A30" t="s">
        <v>449</v>
      </c>
    </row>
    <row r="31" spans="1:7">
      <c r="A31" t="s">
        <v>450</v>
      </c>
      <c r="G31" s="12"/>
    </row>
    <row r="32" spans="1:7">
      <c r="A32" t="s">
        <v>490</v>
      </c>
      <c r="G32" s="11"/>
    </row>
    <row r="33" spans="1:7">
      <c r="A33" t="s">
        <v>451</v>
      </c>
      <c r="G33" s="11"/>
    </row>
    <row r="34" spans="1:7">
      <c r="A34" t="s">
        <v>452</v>
      </c>
      <c r="G34" s="11"/>
    </row>
    <row r="35" spans="1:7">
      <c r="A35" t="s">
        <v>453</v>
      </c>
      <c r="G35" s="11"/>
    </row>
    <row r="36" spans="1:7">
      <c r="A36" t="s">
        <v>491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454</v>
      </c>
      <c r="G50" s="11"/>
    </row>
    <row r="51" spans="1:7">
      <c r="A51" s="12" t="s">
        <v>455</v>
      </c>
      <c r="B51" t="s">
        <v>456</v>
      </c>
      <c r="C51" t="s">
        <v>457</v>
      </c>
      <c r="D51" t="s">
        <v>458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459</v>
      </c>
      <c r="B53">
        <v>935.15625</v>
      </c>
      <c r="C53">
        <v>4000</v>
      </c>
      <c r="D53">
        <v>0.23378906250000001</v>
      </c>
      <c r="E53" t="s">
        <v>433</v>
      </c>
      <c r="G53" s="11"/>
    </row>
    <row r="54" spans="1:7">
      <c r="A54" t="s">
        <v>460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461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462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463</v>
      </c>
      <c r="G59" s="15"/>
    </row>
    <row r="60" spans="1:7">
      <c r="A60" s="12" t="s">
        <v>455</v>
      </c>
      <c r="B60" t="s">
        <v>456</v>
      </c>
      <c r="C60" t="s">
        <v>457</v>
      </c>
      <c r="D60" t="s">
        <v>458</v>
      </c>
      <c r="E60" t="s">
        <v>428</v>
      </c>
    </row>
    <row r="61" spans="1:7">
      <c r="A61" t="s">
        <v>43</v>
      </c>
      <c r="G61" s="12"/>
    </row>
    <row r="62" spans="1:7">
      <c r="A62" t="s">
        <v>464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460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465</v>
      </c>
      <c r="G68" s="15"/>
    </row>
    <row r="69" spans="1:7">
      <c r="G69" s="15"/>
    </row>
    <row r="70" spans="1:7">
      <c r="A70" s="12" t="s">
        <v>426</v>
      </c>
      <c r="B70" t="s">
        <v>466</v>
      </c>
      <c r="C70" t="s">
        <v>467</v>
      </c>
      <c r="D70" t="s">
        <v>428</v>
      </c>
      <c r="G70" s="15"/>
    </row>
    <row r="71" spans="1:7">
      <c r="A71" t="s">
        <v>468</v>
      </c>
      <c r="B71">
        <v>935</v>
      </c>
      <c r="C71">
        <v>1500</v>
      </c>
      <c r="D71" t="s">
        <v>433</v>
      </c>
      <c r="G71" s="15"/>
    </row>
    <row r="72" spans="1:7">
      <c r="A72" t="s">
        <v>469</v>
      </c>
      <c r="B72">
        <v>0</v>
      </c>
      <c r="C72">
        <v>392</v>
      </c>
      <c r="D72" t="s">
        <v>433</v>
      </c>
      <c r="G72" s="15"/>
    </row>
    <row r="73" spans="1:7">
      <c r="A73" t="s">
        <v>470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471</v>
      </c>
      <c r="G75" s="15"/>
    </row>
    <row r="76" spans="1:7">
      <c r="A76" t="s">
        <v>474</v>
      </c>
    </row>
    <row r="77" spans="1:7">
      <c r="A77" t="s">
        <v>492</v>
      </c>
      <c r="G77" s="12"/>
    </row>
    <row r="78" spans="1:7">
      <c r="A78" t="s">
        <v>472</v>
      </c>
      <c r="G78" s="11"/>
    </row>
    <row r="79" spans="1:7">
      <c r="A79" t="s">
        <v>473</v>
      </c>
      <c r="G79" s="11"/>
    </row>
    <row r="80" spans="1:7">
      <c r="A80" t="s">
        <v>493</v>
      </c>
      <c r="G80" s="11"/>
    </row>
    <row r="81" spans="1:7">
      <c r="A81" t="s">
        <v>494</v>
      </c>
      <c r="G81" s="11"/>
    </row>
    <row r="82" spans="1:7">
      <c r="A82" t="s">
        <v>475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6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43.2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 ht="43.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5"/>
    </row>
    <row r="23" spans="1:1">
      <c r="A23" s="25" t="s">
        <v>271</v>
      </c>
    </row>
    <row r="24" spans="1:1">
      <c r="A24" s="25"/>
    </row>
    <row r="25" spans="1:1">
      <c r="A25" s="25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5"/>
    </row>
    <row r="38" spans="1:1">
      <c r="A38" s="25" t="s">
        <v>276</v>
      </c>
    </row>
    <row r="39" spans="1:1">
      <c r="A39" s="25"/>
    </row>
    <row r="40" spans="1:1">
      <c r="A40" s="25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6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5"/>
    </row>
    <row r="53" spans="1:1">
      <c r="A53" s="25" t="s">
        <v>281</v>
      </c>
    </row>
    <row r="54" spans="1:1">
      <c r="A54" s="25"/>
    </row>
    <row r="55" spans="1:1">
      <c r="A55" s="25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sheetData>
    <row r="1" spans="1:1">
      <c r="A1" t="s">
        <v>304</v>
      </c>
    </row>
    <row r="3" spans="1:1" ht="31.2">
      <c r="A3" s="29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9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9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9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C20" sqref="C19:C20"/>
    </sheetView>
  </sheetViews>
  <sheetFormatPr defaultRowHeight="14.4"/>
  <sheetData>
    <row r="1" spans="1:1">
      <c r="A1" t="s">
        <v>371</v>
      </c>
    </row>
    <row r="3" spans="1:1" ht="31.2">
      <c r="A3" s="29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9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9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9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9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9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Inputs</vt:lpstr>
      <vt:lpstr>Connectors</vt:lpstr>
      <vt:lpstr>Results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2025-09-30T22:26:54Z</dcterms:modified>
</cp:coreProperties>
</file>